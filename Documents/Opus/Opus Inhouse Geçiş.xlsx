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0"/>
  <workbookPr/>
  <mc:AlternateContent xmlns:mc="http://schemas.openxmlformats.org/markup-compatibility/2006">
    <mc:Choice Requires="x15">
      <x15ac:absPath xmlns:x15ac="http://schemas.microsoft.com/office/spreadsheetml/2010/11/ac" url="https://lcwonline-my.sharepoint.com/personal/serkan_karaman_lcwaikiki_com/Documents/"/>
    </mc:Choice>
  </mc:AlternateContent>
  <xr:revisionPtr revIDLastSave="0" documentId="8_{7132502E-F529-4D7B-B163-7816D6D37663}" xr6:coauthVersionLast="47" xr6:coauthVersionMax="47" xr10:uidLastSave="{00000000-0000-0000-0000-000000000000}"/>
  <bookViews>
    <workbookView xWindow="-108" yWindow="-108" windowWidth="23256" windowHeight="13896" firstSheet="6" activeTab="6" xr2:uid="{72CA79B8-F6FD-4239-8855-A7CE2E6683A7}"/>
  </bookViews>
  <sheets>
    <sheet name="Opus_özet_kart" sheetId="6" r:id="rId1"/>
    <sheet name="Opus_Checklist_Aksiyonlar" sheetId="4" r:id="rId2"/>
    <sheet name="Opus_Ülkeler_Planı" sheetId="7" r:id="rId3"/>
    <sheet name="Opus Event List" sheetId="5" r:id="rId4"/>
    <sheet name="Evam" sheetId="2" r:id="rId5"/>
    <sheet name="Insider" sheetId="3" r:id="rId6"/>
    <sheet name="Raporlama(draft)" sheetId="8" r:id="rId7"/>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27" i="3" l="1"/>
  <c r="E13" i="3"/>
  <c r="E12" i="3"/>
  <c r="E11" i="3"/>
  <c r="E10" i="3"/>
  <c r="E9" i="3"/>
  <c r="E8" i="3"/>
  <c r="E7" i="3"/>
  <c r="E6" i="3"/>
  <c r="E5" i="3"/>
  <c r="E4" i="3"/>
</calcChain>
</file>

<file path=xl/sharedStrings.xml><?xml version="1.0" encoding="utf-8"?>
<sst xmlns="http://schemas.openxmlformats.org/spreadsheetml/2006/main" count="369" uniqueCount="222">
  <si>
    <t>Proje Ad</t>
  </si>
  <si>
    <t>Opus ile Müşteri İletişim ve Etkileşim Dönüşüm Projesi</t>
  </si>
  <si>
    <t>Proje TY</t>
  </si>
  <si>
    <t>https://jira.lcwaikiki.com/browse/TY-139870</t>
  </si>
  <si>
    <t>Proje Amaç</t>
  </si>
  <si>
    <t>Bu projenin amacı, mevcut müşteri iletişimi ve etkileşim süreçlerinin Opus platformu üzerinde konsolide edilmesidir. Mevcut Insider ve Evam bağımlılığının sonlandırılması hedeflenmektedir. Böylece müşteri iletişimlerinin daha merkezi, yönetilebilir, sürdürülebilir ve ölçeklenebilir bir yapı üzerinden yürütülmesi, öncelikli use case’lerin kesintisiz devamlılığının sağlanması ve operasyonel verimliliğin artırılması amaçlanmaktadır.</t>
  </si>
  <si>
    <t>Proje Kapsam</t>
  </si>
  <si>
    <t>Proje kapsamına Evam senaryolarının Opus’a taşınması, Insider mobil ve web push süreçlerinin Opus üzerinde devreye alınması, ilgili template ve survey yapılarının uyarlanması ve bu alandaki Insider kullanımının sonlandırılması dahildir. Çalışma, öncelikli ülkeler ve use case’ler bazında kademeli şekilde ilerleyecek olup ilgili iş birimleri, pazarlama ekipleri ve BT ekipleri ile koordineli olarak yürütülecektir.</t>
  </si>
  <si>
    <t>Proje Kapsam Başlıkları</t>
  </si>
  <si>
    <t>• Mevcut EVAM senaryolarının Opus’a taşınması ve Evam faaliyetlerinin sonlandırılması
• Mobil ve web push iletişim süreçlerinin Opus üzerinde devreye alınması
• İlgili template ve survey yapılarının Opus kullanımına uygun hale getirilmesi
• Öncelikli use case’lerin ve ülkelerin kademeli şekilde canlıya alınması
• Mevcut Insider kullanımının bu kapsam dahilinde sonlandırılması
• Süreçlerin ilgili iş birimleri ve destek ekipleri ile merkezi olarak yönetilebilir hale getirilmesi</t>
  </si>
  <si>
    <t>Proje Kazanımları</t>
  </si>
  <si>
    <r>
      <rPr>
        <b/>
        <sz val="11"/>
        <color theme="1"/>
        <rFont val="Aptos Narrow"/>
        <family val="2"/>
        <scheme val="minor"/>
      </rPr>
      <t xml:space="preserve">Finansal fayda: </t>
    </r>
    <r>
      <rPr>
        <sz val="11"/>
        <color theme="1"/>
        <rFont val="Aptos Narrow"/>
        <family val="2"/>
        <charset val="162"/>
        <scheme val="minor"/>
      </rPr>
      <t xml:space="preserve">
• Mevcut Insider ve Evam lisans ve ilişkili hizmet maliyetlerinin ortadan kaldırılması
• Yıllık yaklaşık 50 milyon TL seviyesinde maliyet avantajı
</t>
    </r>
    <r>
      <rPr>
        <b/>
        <sz val="11"/>
        <color theme="1"/>
        <rFont val="Aptos Narrow"/>
        <family val="2"/>
        <scheme val="minor"/>
      </rPr>
      <t>Operasyonel verimlilik:</t>
    </r>
    <r>
      <rPr>
        <sz val="11"/>
        <color theme="1"/>
        <rFont val="Aptos Narrow"/>
        <family val="2"/>
        <charset val="162"/>
        <scheme val="minor"/>
      </rPr>
      <t xml:space="preserve">
• Müşteri iletişim ve etkileşim süreçlerinin tek platformda yönetilmesi
• Ekipler arası koordinasyonun kolaylaşması
• Kampanya / iletişim / senaryo / template / survey süreçlerinin tek yapıdan yönetilmesi
</t>
    </r>
    <r>
      <rPr>
        <b/>
        <sz val="11"/>
        <color theme="1"/>
        <rFont val="Aptos Narrow"/>
        <family val="2"/>
        <scheme val="minor"/>
      </rPr>
      <t>Stratejik kazanımlar:</t>
    </r>
    <r>
      <rPr>
        <sz val="11"/>
        <color theme="1"/>
        <rFont val="Aptos Narrow"/>
        <family val="2"/>
        <scheme val="minor"/>
      </rPr>
      <t xml:space="preserve">
• Mevcut Insider ve Evam bağımlılıklarının sonlandırılması ile dış platform bağımlılığının azaltılması
• Müşteri etkileşim süreçleri için daha sürdürülebilir ve ölçeklenebilir bir yapı oluşturulması
• Öncelikli use case’lerde iş sürekliliğinin sağlanması
• Yeni use case ve ülke ihtiyaçlarının daha hızlı devreye alınabilmesi</t>
    </r>
  </si>
  <si>
    <t>Fazlar</t>
  </si>
  <si>
    <r>
      <rPr>
        <b/>
        <sz val="11"/>
        <color theme="1"/>
        <rFont val="Aptos Narrow"/>
        <family val="2"/>
        <scheme val="minor"/>
      </rPr>
      <t>Faz 1</t>
    </r>
    <r>
      <rPr>
        <sz val="11"/>
        <color theme="1"/>
        <rFont val="Aptos Narrow"/>
        <family val="2"/>
        <charset val="162"/>
        <scheme val="minor"/>
      </rPr>
      <t xml:space="preserve"> - Evam senaryolarının Opus'a taşınması
</t>
    </r>
    <r>
      <rPr>
        <b/>
        <sz val="11"/>
        <color theme="1"/>
        <rFont val="Aptos Narrow"/>
        <family val="2"/>
        <scheme val="minor"/>
      </rPr>
      <t>Faz 2</t>
    </r>
    <r>
      <rPr>
        <sz val="11"/>
        <color theme="1"/>
        <rFont val="Aptos Narrow"/>
        <family val="2"/>
        <charset val="162"/>
        <scheme val="minor"/>
      </rPr>
      <t xml:space="preserve"> - App push ve web push süreçlerinin Opus üzerinde pilot ülkede devreye alınması
</t>
    </r>
    <r>
      <rPr>
        <b/>
        <sz val="11"/>
        <color theme="1"/>
        <rFont val="Aptos Narrow"/>
        <family val="2"/>
        <scheme val="minor"/>
      </rPr>
      <t>Faz 3</t>
    </r>
    <r>
      <rPr>
        <sz val="11"/>
        <color theme="1"/>
        <rFont val="Aptos Narrow"/>
        <family val="2"/>
        <charset val="162"/>
        <scheme val="minor"/>
      </rPr>
      <t xml:space="preserve"> - App ve web templates yetkinliklerinin Opus üzerinde pilot ülkede devreye alınması
</t>
    </r>
    <r>
      <rPr>
        <b/>
        <sz val="11"/>
        <color theme="1"/>
        <rFont val="Aptos Narrow"/>
        <family val="2"/>
        <scheme val="minor"/>
      </rPr>
      <t>Faz 4</t>
    </r>
    <r>
      <rPr>
        <sz val="11"/>
        <color theme="1"/>
        <rFont val="Aptos Narrow"/>
        <family val="2"/>
        <charset val="162"/>
        <scheme val="minor"/>
      </rPr>
      <t xml:space="preserve"> - Survey yetkinliklerinin Opus üzerinde pilot ülkede devreye alınması</t>
    </r>
  </si>
  <si>
    <t>OPUS Platform Geçiş Checklist</t>
  </si>
  <si>
    <t>#</t>
  </si>
  <si>
    <t>Görev</t>
  </si>
  <si>
    <t>Panel / Araç</t>
  </si>
  <si>
    <t>Kanal</t>
  </si>
  <si>
    <t>Sorumlu Ekip</t>
  </si>
  <si>
    <t>Notlar</t>
  </si>
  <si>
    <t>Tamamlanma Tarihi</t>
  </si>
  <si>
    <t>Genel</t>
  </si>
  <si>
    <t>Opus GUID yapısının tanımlanması ve Opus GUID ↔ User_ID eşleme yapısının kurulması</t>
  </si>
  <si>
    <t>Opus</t>
  </si>
  <si>
    <t>IT</t>
  </si>
  <si>
    <t>iOS / Android uygulamada gerekli SDK / integration katmanının hazırlanması</t>
  </si>
  <si>
    <t>Push token toplama ve kullanıcıyla eşleme yapısının hazırlanması</t>
  </si>
  <si>
    <t>Evam &amp; Opus Gereklilikleri</t>
  </si>
  <si>
    <t>Evam senaryoları için gerekli event &amp; data model yapısının hazırlanması ve BQ entegrasyonu</t>
  </si>
  <si>
    <t>Evam - Opus</t>
  </si>
  <si>
    <t>Otomasyon</t>
  </si>
  <si>
    <t>IT + Growth</t>
  </si>
  <si>
    <t>Opus üzerinde Evam senaryolarına ait arayüz ortamının hazırlanması</t>
  </si>
  <si>
    <t xml:space="preserve">Kupon entegrasyonu CRM entegrasyonu </t>
  </si>
  <si>
    <t>Evam mevcut öncelikli WAI WAI senaryolarının taşınması</t>
  </si>
  <si>
    <t>Consent kurallarının netleştirilmesi</t>
  </si>
  <si>
    <t>IT + Growth + Hukuk + Analitik</t>
  </si>
  <si>
    <t>Test sending altyapısının hazırlanması</t>
  </si>
  <si>
    <t>Uçtan uca senaryoların kontrol edilmesi</t>
  </si>
  <si>
    <t>Growth</t>
  </si>
  <si>
    <t>Evam tüm ülkelerdeki aktif top 3 öncelikli senaryoların taşınması</t>
  </si>
  <si>
    <t>Evam kalan senaryoların kademeli taşınması</t>
  </si>
  <si>
    <t>Insider Push &amp; Opus Gereklilikleri</t>
  </si>
  <si>
    <t>Opus üzerinde Insider app push arayüzünün oluşturulması</t>
  </si>
  <si>
    <t>Insider - Opus</t>
  </si>
  <si>
    <t>App Push</t>
  </si>
  <si>
    <t>IT + Owned</t>
  </si>
  <si>
    <t>CDP kitle aktarımının tamamlanması</t>
  </si>
  <si>
    <t>Pushlar için gerekli event &amp; data model yapısının çıkarılması ve hazırlanması</t>
  </si>
  <si>
    <t>Reinit ve user identity mantığının doğru işlenmesi</t>
  </si>
  <si>
    <t>App Push + Web Push</t>
  </si>
  <si>
    <t>IT + Owned + Hukuk + Analitik</t>
  </si>
  <si>
    <t>email ve sms</t>
  </si>
  <si>
    <t>App templates web templates</t>
  </si>
  <si>
    <t>Survey</t>
  </si>
  <si>
    <t>Insider RPA kabiliyetinin Opus'a taşınması</t>
  </si>
  <si>
    <t>Uçtan uca pushların kontrol edilmesi</t>
  </si>
  <si>
    <t>Owned</t>
  </si>
  <si>
    <t>Deeplink ve GA4&amp;Adjust ölçümlemelerin güncellenmesi</t>
  </si>
  <si>
    <t>Owned + Analitik</t>
  </si>
  <si>
    <t>Web tag/script entegrasyonun tamamlanması</t>
  </si>
  <si>
    <t>Web Push</t>
  </si>
  <si>
    <t>Frequency Cap limitinin oluşturulması</t>
  </si>
  <si>
    <t>Tüm</t>
  </si>
  <si>
    <t>AI destekli content generation / CMS bağlantısıyla beraber</t>
  </si>
  <si>
    <t>Aksiyonlar</t>
  </si>
  <si>
    <t>Kayıt Tarihi</t>
  </si>
  <si>
    <t>Konu</t>
  </si>
  <si>
    <t>Sorumlu</t>
  </si>
  <si>
    <t>Tamamlanması Planlanan Tarih</t>
  </si>
  <si>
    <t>Gerçekleşen Tamamlanma Tarihi</t>
  </si>
  <si>
    <t>Açıklama</t>
  </si>
  <si>
    <t>Opus GUID yapısının tanımlanması ve Opus GUID ↔ User_ID eşleme yapısının kurulması. Tokenların bizim tarafta işlenmesi.
Opus SDK'nin eklenmesi</t>
  </si>
  <si>
    <t xml:space="preserve">Anonim datanın ne kadarını alabileceğiz raporlama </t>
  </si>
  <si>
    <t>Belirsiz</t>
  </si>
  <si>
    <t>Evam tarafında ihtiyaçlar, bq tarafıyla bağlantısı, sıfırdan kurulum nasıl yapılıyor, genel oryantasyon yapılacak, evamdaki sürükle bırak simülasyonu benzer deneyim ihtiyaçları</t>
  </si>
  <si>
    <t>18.06.2026 (1-2 arası planlayabiliriz)</t>
  </si>
  <si>
    <t>Evam mevcut öncelikli WAI WAI senaryolarının taşınması
CDPde kitle oluşturularak entegrasyon sağlanması</t>
  </si>
  <si>
    <t>IT &amp; Growth &amp; CDP ekibi</t>
  </si>
  <si>
    <t>önümüzdeki hafta ihtiyaca göre toplanabiliriz</t>
  </si>
  <si>
    <t>Consent/Permission kurallarının netleştirilmesi
Cookieseal inhouse taşınması</t>
  </si>
  <si>
    <t>Analitik, ajans, IT, Hukuk, Pazarlama</t>
  </si>
  <si>
    <t>hukuk, analitik ve ajanslarla tekrardan irtibata geçilerek belirlenecek</t>
  </si>
  <si>
    <t>Test sending altyapısının oluşması</t>
  </si>
  <si>
    <t>Tüm ekipler için raporlama ihtiyacı, neleri görmek istiyoruz format olarak</t>
  </si>
  <si>
    <t>Pazarlama</t>
  </si>
  <si>
    <t>UAT Plan</t>
  </si>
  <si>
    <t>Ülkeler</t>
  </si>
  <si>
    <t>Evam Waiwai Hedef UAT</t>
  </si>
  <si>
    <t>Evam Otomasyonlar Hedef UAT</t>
  </si>
  <si>
    <t>Insider App Push Hedef UAT</t>
  </si>
  <si>
    <t>Insider Web Push Hedef UAT</t>
  </si>
  <si>
    <t>Insider App Templates Hedef UAT</t>
  </si>
  <si>
    <t>Insider Web Templates Hedef UAT</t>
  </si>
  <si>
    <t>Insider Survey Hedef UAT</t>
  </si>
  <si>
    <t>Türkiye</t>
  </si>
  <si>
    <t>YD Insider Ülkeleri</t>
  </si>
  <si>
    <t>"</t>
  </si>
  <si>
    <t>Balkan/diğer</t>
  </si>
  <si>
    <t>Canlı Plan</t>
  </si>
  <si>
    <t>Evam Waiwai Hedef Canlıya Geçiş</t>
  </si>
  <si>
    <t>Evam Otomasyonlar Hedef Canlıya Geçiş</t>
  </si>
  <si>
    <t>Insider App Push Hedef Canlıya Geçiş</t>
  </si>
  <si>
    <t>Insider Web Push Hedef Canlıya Geçiş</t>
  </si>
  <si>
    <t>Insider App Templates Hedef Canlıya Geçiş</t>
  </si>
  <si>
    <t>Insider Web Templates Hedef Canlıya Geçiş</t>
  </si>
  <si>
    <t>Insider Survey Hedef Canlıya Geçiş</t>
  </si>
  <si>
    <t>OPUS Platform Event List</t>
  </si>
  <si>
    <t>Event Ad</t>
  </si>
  <si>
    <t>session_start</t>
  </si>
  <si>
    <t>homepage_view</t>
  </si>
  <si>
    <t>select_item</t>
  </si>
  <si>
    <t>view_item</t>
  </si>
  <si>
    <t>product_detail_page_view</t>
  </si>
  <si>
    <t>view_product_list</t>
  </si>
  <si>
    <t>item_added_to_cart</t>
  </si>
  <si>
    <t>item_removed_from_cart</t>
  </si>
  <si>
    <t>item_added_to_wishlist</t>
  </si>
  <si>
    <t>item_removed_from_wishlist</t>
  </si>
  <si>
    <t>cart_page_view</t>
  </si>
  <si>
    <t>cart_cleared</t>
  </si>
  <si>
    <t>searched</t>
  </si>
  <si>
    <t>login</t>
  </si>
  <si>
    <t>logout</t>
  </si>
  <si>
    <t>register</t>
  </si>
  <si>
    <t>purchase (confirmation_page_view)</t>
  </si>
  <si>
    <t>order_started</t>
  </si>
  <si>
    <t>App Push Open (push_session)</t>
  </si>
  <si>
    <t>App Push Delivered (push_delivered)</t>
  </si>
  <si>
    <t>web_push_view</t>
  </si>
  <si>
    <t>web_push_click</t>
  </si>
  <si>
    <t>Evam Top Senaryolar</t>
  </si>
  <si>
    <t>TR Son 9 Ay</t>
  </si>
  <si>
    <t>Otomasyon Grubu</t>
  </si>
  <si>
    <t>Revenue</t>
  </si>
  <si>
    <t>E-ticaret Pay</t>
  </si>
  <si>
    <t>WAIWAI</t>
  </si>
  <si>
    <t>SepetCoupon</t>
  </si>
  <si>
    <t>Churn</t>
  </si>
  <si>
    <t>Onetimer</t>
  </si>
  <si>
    <t>FavCoupon</t>
  </si>
  <si>
    <t>YD Son 9 Ay</t>
  </si>
  <si>
    <t>Sepet ve Fav Terk</t>
  </si>
  <si>
    <t>Ülke</t>
  </si>
  <si>
    <t>Mısır</t>
  </si>
  <si>
    <t>Sırbistan</t>
  </si>
  <si>
    <t>Bulgaristan</t>
  </si>
  <si>
    <t>Gürcistan</t>
  </si>
  <si>
    <t>Romanya</t>
  </si>
  <si>
    <t>Ukrayna</t>
  </si>
  <si>
    <t>Irak</t>
  </si>
  <si>
    <t>Kazakistan</t>
  </si>
  <si>
    <t>Fas</t>
  </si>
  <si>
    <t xml:space="preserve">APP PUSH </t>
  </si>
  <si>
    <t>All Data</t>
  </si>
  <si>
    <t>Anonim Data</t>
  </si>
  <si>
    <t>Anonim Pay</t>
  </si>
  <si>
    <t>TR</t>
  </si>
  <si>
    <t>EG</t>
  </si>
  <si>
    <t>RS</t>
  </si>
  <si>
    <t>RO</t>
  </si>
  <si>
    <t>BG</t>
  </si>
  <si>
    <t>GE</t>
  </si>
  <si>
    <t>KZ</t>
  </si>
  <si>
    <t>MA</t>
  </si>
  <si>
    <t>IQ</t>
  </si>
  <si>
    <t>UA</t>
  </si>
  <si>
    <t>ÜLKELER</t>
  </si>
  <si>
    <t>WEB PUSH İZİN</t>
  </si>
  <si>
    <t>Total</t>
  </si>
  <si>
    <t>OWNED</t>
  </si>
  <si>
    <t>GROWTH</t>
  </si>
  <si>
    <t>Channels</t>
  </si>
  <si>
    <t>Mevcut Providerlar</t>
  </si>
  <si>
    <t>Insider</t>
  </si>
  <si>
    <t>Related</t>
  </si>
  <si>
    <t>BigQuery</t>
  </si>
  <si>
    <t>Email</t>
  </si>
  <si>
    <t>`bigdata-evam-prod.evamlog.int_log_table`</t>
  </si>
  <si>
    <t>SMS</t>
  </si>
  <si>
    <t>`bigdata-evam-prod.evamlog.int_contact_history`</t>
  </si>
  <si>
    <t>`bigdata-evam-prod.evamlog.int_custom_comm_status`</t>
  </si>
  <si>
    <t>Metrics/Channels</t>
  </si>
  <si>
    <t>`dwh_prod_datamart.vw_internet_satis`</t>
  </si>
  <si>
    <t>Campaign Title</t>
  </si>
  <si>
    <t>x</t>
  </si>
  <si>
    <t>Yukarıdaki tablolardan sorgulayarak aşağıdaki müşteri verilerini elde ediyoruz.</t>
  </si>
  <si>
    <t>Campaign Message</t>
  </si>
  <si>
    <t>Segment Tanım</t>
  </si>
  <si>
    <t xml:space="preserve">App Push </t>
  </si>
  <si>
    <t>Delivery Date</t>
  </si>
  <si>
    <t>Mail Gönderilen Müşteri Sayısı</t>
  </si>
  <si>
    <t>Sent</t>
  </si>
  <si>
    <t>Alışveriş Yapan Müşteri Sayısı</t>
  </si>
  <si>
    <t>Delivered</t>
  </si>
  <si>
    <t>Sipariş Sayısı</t>
  </si>
  <si>
    <t>Push Open</t>
  </si>
  <si>
    <t>Push Open Rate (Open/Delivered)</t>
  </si>
  <si>
    <t>Incremental Revenue</t>
  </si>
  <si>
    <t>Web Click</t>
  </si>
  <si>
    <t>CR</t>
  </si>
  <si>
    <t>Web Click Rate</t>
  </si>
  <si>
    <t>AOV</t>
  </si>
  <si>
    <t>Total Mail Open</t>
  </si>
  <si>
    <t>Hedef-Kontrol Grup Müşteri Ayrımı</t>
  </si>
  <si>
    <t>Total Mail Open Rate</t>
  </si>
  <si>
    <t>Unique Mail Open</t>
  </si>
  <si>
    <t>Unique Mail Open Rate</t>
  </si>
  <si>
    <t>Mail Click</t>
  </si>
  <si>
    <t>Mail Click Rate</t>
  </si>
  <si>
    <t>Unique Mail Click</t>
  </si>
  <si>
    <t>Unique Mail Click Rate</t>
  </si>
  <si>
    <t>SMS Click</t>
  </si>
  <si>
    <t>SMS Click Rate</t>
  </si>
  <si>
    <t>Sessions</t>
  </si>
  <si>
    <t>Transaction</t>
  </si>
  <si>
    <t>CR (Transaction/Open) --&gt; app push
CR (Transaction/Click) --&gt; web push
CR (Transaction/Click) --&gt; mailde unique click alınacak</t>
  </si>
  <si>
    <t>AOV (Transaction/Revenue)</t>
  </si>
  <si>
    <t>Opt-in Rate</t>
  </si>
  <si>
    <t>Unsubscribe</t>
  </si>
  <si>
    <t>Blacklist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</si>
</sst>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0.00_-;\-* #,##0.00_-;_-* &quot;-&quot;??_-;_-@_-"/>
    <numFmt numFmtId="165" formatCode="0.0%"/>
    <numFmt numFmtId="166" formatCode="_-* #,##0_-;\-* #,##0_-;_-* &quot;-&quot;??_-;_-@_-"/>
    <numFmt numFmtId="167" formatCode="&quot;₺&quot;#,##0"/>
    <numFmt numFmtId="168" formatCode="[$$-409]#,##0"/>
  </numFmts>
  <fonts count="22">
    <font>
      <sz val="11"/>
      <color theme="1"/>
      <name val="Aptos Narrow"/>
      <family val="2"/>
      <charset val="162"/>
      <scheme val="minor"/>
    </font>
    <font>
      <sz val="11"/>
      <color theme="1"/>
      <name val="Aptos Narrow"/>
      <family val="2"/>
      <charset val="162"/>
      <scheme val="minor"/>
    </font>
    <font>
      <b/>
      <sz val="11"/>
      <color theme="1"/>
      <name val="Aptos Narrow"/>
      <family val="2"/>
      <scheme val="minor"/>
    </font>
    <font>
      <sz val="11"/>
      <color theme="1"/>
      <name val="Aptos Narrow"/>
      <family val="2"/>
      <scheme val="minor"/>
    </font>
    <font>
      <b/>
      <sz val="11"/>
      <color theme="1"/>
      <name val="Aptos Narrow"/>
      <family val="2"/>
      <charset val="162"/>
      <scheme val="minor"/>
    </font>
    <font>
      <b/>
      <sz val="10"/>
      <color rgb="FFFFFFFF"/>
      <name val="Arial"/>
      <family val="2"/>
    </font>
    <font>
      <b/>
      <sz val="10"/>
      <color rgb="FF1A5276"/>
      <name val="Arial"/>
      <family val="2"/>
    </font>
    <font>
      <sz val="10"/>
      <color rgb="FF000000"/>
      <name val="Arial"/>
      <family val="2"/>
    </font>
    <font>
      <sz val="10"/>
      <color rgb="FF1A5276"/>
      <name val="Arial"/>
      <family val="2"/>
    </font>
    <font>
      <b/>
      <sz val="10"/>
      <color rgb="FF154360"/>
      <name val="Arial"/>
      <family val="2"/>
    </font>
    <font>
      <sz val="12"/>
      <color theme="1"/>
      <name val="Aptos Narrow"/>
      <family val="2"/>
      <charset val="162"/>
      <scheme val="minor"/>
    </font>
    <font>
      <b/>
      <sz val="10"/>
      <color theme="3" tint="9.9978637043366805E-2"/>
      <name val="Arial"/>
      <family val="2"/>
      <charset val="162"/>
    </font>
    <font>
      <b/>
      <sz val="18"/>
      <color theme="1"/>
      <name val="Aptos Narrow"/>
      <family val="2"/>
      <scheme val="minor"/>
    </font>
    <font>
      <b/>
      <sz val="12"/>
      <color theme="0"/>
      <name val="Aptos Narrow"/>
      <family val="2"/>
      <scheme val="minor"/>
    </font>
    <font>
      <b/>
      <sz val="12"/>
      <color theme="1"/>
      <name val="Aptos Narrow"/>
      <family val="2"/>
      <scheme val="minor"/>
    </font>
    <font>
      <b/>
      <sz val="11"/>
      <color rgb="FFFFFFFF"/>
      <name val="Aptos Narrow"/>
      <family val="2"/>
    </font>
    <font>
      <b/>
      <sz val="11"/>
      <color rgb="FF000000"/>
      <name val="Aptos Narrow"/>
      <family val="2"/>
    </font>
    <font>
      <sz val="11"/>
      <color rgb="FF000000"/>
      <name val="Aptos Narrow"/>
      <family val="2"/>
    </font>
    <font>
      <b/>
      <u/>
      <sz val="14"/>
      <color theme="1"/>
      <name val="Aptos Narrow"/>
      <family val="2"/>
      <scheme val="minor"/>
    </font>
    <font>
      <u/>
      <sz val="11"/>
      <color theme="10"/>
      <name val="Aptos Narrow"/>
      <family val="2"/>
      <charset val="162"/>
      <scheme val="minor"/>
    </font>
    <font>
      <b/>
      <sz val="20"/>
      <color theme="1"/>
      <name val="Aptos Narrow"/>
      <family val="2"/>
      <scheme val="minor"/>
    </font>
    <font>
      <b/>
      <sz val="14"/>
      <color theme="1"/>
      <name val="Aptos Narrow"/>
      <family val="2"/>
      <scheme val="minor"/>
    </font>
  </fonts>
  <fills count="17">
    <fill>
      <patternFill patternType="none"/>
    </fill>
    <fill>
      <patternFill patternType="gray125"/>
    </fill>
    <fill>
      <patternFill patternType="solid">
        <fgColor rgb="FFFDFEFE"/>
        <bgColor rgb="FFFFFFFF"/>
      </patternFill>
    </fill>
    <fill>
      <patternFill patternType="solid">
        <fgColor rgb="FFEBF5FB"/>
        <bgColor rgb="FFE8F4FD"/>
      </patternFill>
    </fill>
    <fill>
      <patternFill patternType="solid">
        <fgColor rgb="FFE8F4FD"/>
        <bgColor rgb="FFEBF5FB"/>
      </patternFill>
    </fill>
    <fill>
      <patternFill patternType="solid">
        <fgColor rgb="FFF8F9FA"/>
        <bgColor rgb="FFFDFEFE"/>
      </patternFill>
    </fill>
    <fill>
      <patternFill patternType="solid">
        <fgColor theme="7"/>
        <bgColor rgb="FF1A5276"/>
      </patternFill>
    </fill>
    <fill>
      <patternFill patternType="solid">
        <fgColor theme="3" tint="0.749992370372631"/>
        <bgColor indexed="64"/>
      </patternFill>
    </fill>
    <fill>
      <patternFill patternType="solid">
        <fgColor theme="1"/>
        <bgColor indexed="64"/>
      </patternFill>
    </fill>
    <fill>
      <patternFill patternType="solid">
        <fgColor rgb="FF000000"/>
        <bgColor indexed="64"/>
      </patternFill>
    </fill>
    <fill>
      <patternFill patternType="solid">
        <fgColor rgb="FFD0D0D0"/>
        <bgColor indexed="64"/>
      </patternFill>
    </fill>
    <fill>
      <patternFill patternType="solid">
        <fgColor theme="4" tint="0.79998168889431442"/>
        <bgColor indexed="64"/>
      </patternFill>
    </fill>
    <fill>
      <patternFill patternType="solid">
        <fgColor rgb="FFFFFF00"/>
        <bgColor indexed="64"/>
      </patternFill>
    </fill>
    <fill>
      <patternFill patternType="solid">
        <fgColor theme="0" tint="-0.249977111117893"/>
        <bgColor rgb="FFFFFFFF"/>
      </patternFill>
    </fill>
    <fill>
      <patternFill patternType="solid">
        <fgColor theme="0" tint="-0.249977111117893"/>
        <bgColor rgb="FFFDFEFE"/>
      </patternFill>
    </fill>
    <fill>
      <patternFill patternType="solid">
        <fgColor theme="9" tint="0.59999389629810485"/>
        <bgColor indexed="64"/>
      </patternFill>
    </fill>
    <fill>
      <patternFill patternType="solid">
        <fgColor rgb="FFFF0000"/>
        <bgColor indexed="64"/>
      </patternFill>
    </fill>
  </fills>
  <borders count="3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CCCCCC"/>
      </left>
      <right style="thin">
        <color rgb="FFCCCCCC"/>
      </right>
      <top style="thin">
        <color rgb="FFCCCCCC"/>
      </top>
      <bottom style="thin">
        <color rgb="FFCCCCCC"/>
      </bottom>
      <diagonal/>
    </border>
    <border>
      <left style="thin">
        <color theme="9"/>
      </left>
      <right style="thin">
        <color rgb="FFCCCCCC"/>
      </right>
      <top style="thin">
        <color rgb="FFCCCCCC"/>
      </top>
      <bottom style="thin">
        <color rgb="FFCCCCCC"/>
      </bottom>
      <diagonal/>
    </border>
    <border>
      <left style="thin">
        <color rgb="FFCCCCCC"/>
      </left>
      <right style="thin">
        <color rgb="FFCCCCCC"/>
      </right>
      <top style="thin">
        <color theme="9"/>
      </top>
      <bottom style="thin">
        <color rgb="FFCCCCCC"/>
      </bottom>
      <diagonal/>
    </border>
    <border>
      <left style="thin">
        <color theme="9"/>
      </left>
      <right style="thin">
        <color rgb="FFCCCCCC"/>
      </right>
      <top style="thin">
        <color theme="9"/>
      </top>
      <bottom style="thin">
        <color rgb="FFCCCCCC"/>
      </bottom>
      <diagonal/>
    </border>
    <border>
      <left/>
      <right/>
      <top/>
      <bottom style="thin">
        <color rgb="FFCCCCCC"/>
      </bottom>
      <diagonal/>
    </border>
    <border>
      <left style="thin">
        <color rgb="FFCCCCCC"/>
      </left>
      <right style="thin">
        <color theme="9"/>
      </right>
      <top style="thin">
        <color theme="9"/>
      </top>
      <bottom style="thin">
        <color rgb="FFCCCCCC"/>
      </bottom>
      <diagonal/>
    </border>
    <border>
      <left style="thin">
        <color rgb="FFCCCCCC"/>
      </left>
      <right/>
      <top style="thin">
        <color theme="9"/>
      </top>
      <bottom style="thin">
        <color theme="9"/>
      </bottom>
      <diagonal/>
    </border>
    <border>
      <left/>
      <right/>
      <top style="thin">
        <color theme="9"/>
      </top>
      <bottom style="thin">
        <color theme="9"/>
      </bottom>
      <diagonal/>
    </border>
    <border>
      <left style="thin">
        <color theme="9"/>
      </left>
      <right style="thin">
        <color rgb="FFCCCCCC"/>
      </right>
      <top style="thin">
        <color theme="9"/>
      </top>
      <bottom style="thin">
        <color indexed="64"/>
      </bottom>
      <diagonal/>
    </border>
    <border>
      <left style="thin">
        <color theme="9"/>
      </left>
      <right style="thin">
        <color rgb="FFCCCCCC"/>
      </right>
      <top style="thin">
        <color indexed="64"/>
      </top>
      <bottom style="thin">
        <color theme="9"/>
      </bottom>
      <diagonal/>
    </border>
    <border>
      <left style="thin">
        <color theme="9"/>
      </left>
      <right style="thin">
        <color rgb="FFCCCCCC"/>
      </right>
      <top style="thin">
        <color rgb="FFCCCCCC"/>
      </top>
      <bottom style="thin">
        <color indexed="64"/>
      </bottom>
      <diagonal/>
    </border>
    <border>
      <left style="thin">
        <color theme="9"/>
      </left>
      <right style="thin">
        <color rgb="FFCCCCCC"/>
      </right>
      <top/>
      <bottom/>
      <diagonal/>
    </border>
    <border>
      <left style="thin">
        <color rgb="FFCCCCCC"/>
      </left>
      <right style="thin">
        <color theme="9"/>
      </right>
      <top/>
      <bottom/>
      <diagonal/>
    </border>
    <border>
      <left/>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medium">
        <color rgb="FF000000"/>
      </top>
      <bottom/>
      <diagonal/>
    </border>
    <border>
      <left/>
      <right style="thin">
        <color indexed="64"/>
      </right>
      <top/>
      <bottom/>
      <diagonal/>
    </border>
    <border>
      <left style="thin">
        <color indexed="64"/>
      </left>
      <right/>
      <top/>
      <bottom/>
      <diagonal/>
    </border>
    <border>
      <left style="thin">
        <color rgb="FFCCCCCC"/>
      </left>
      <right/>
      <top style="thin">
        <color theme="9"/>
      </top>
      <bottom style="thin">
        <color rgb="FFCCCCCC"/>
      </bottom>
      <diagonal/>
    </border>
    <border>
      <left/>
      <right style="thin">
        <color rgb="FFCCCCCC"/>
      </right>
      <top style="thin">
        <color theme="9"/>
      </top>
      <bottom style="thin">
        <color rgb="FFCCCCCC"/>
      </bottom>
      <diagonal/>
    </border>
  </borders>
  <cellStyleXfs count="5">
    <xf numFmtId="0" fontId="0" fillId="0" borderId="0"/>
    <xf numFmtId="164" fontId="1" fillId="0" borderId="0" applyFont="0" applyFill="0" applyBorder="0" applyAlignment="0" applyProtection="0"/>
    <xf numFmtId="9" fontId="1" fillId="0" borderId="0" applyFont="0" applyFill="0" applyBorder="0" applyAlignment="0" applyProtection="0"/>
    <xf numFmtId="0" fontId="3" fillId="0" borderId="0"/>
    <xf numFmtId="0" fontId="19" fillId="0" borderId="0" applyNumberFormat="0" applyFill="0" applyBorder="0" applyAlignment="0" applyProtection="0"/>
  </cellStyleXfs>
  <cellXfs count="118">
    <xf numFmtId="0" fontId="0" fillId="0" borderId="0" xfId="0"/>
    <xf numFmtId="0" fontId="2" fillId="0" borderId="1" xfId="0" applyFont="1" applyBorder="1"/>
    <xf numFmtId="165" fontId="0" fillId="0" borderId="1" xfId="2" applyNumberFormat="1" applyFont="1" applyBorder="1" applyAlignment="1">
      <alignment horizontal="center"/>
    </xf>
    <xf numFmtId="0" fontId="2" fillId="0" borderId="2" xfId="0" applyFont="1" applyBorder="1"/>
    <xf numFmtId="0" fontId="0" fillId="0" borderId="4" xfId="0" applyBorder="1"/>
    <xf numFmtId="0" fontId="0" fillId="0" borderId="5" xfId="0" applyBorder="1"/>
    <xf numFmtId="0" fontId="0" fillId="0" borderId="1" xfId="0" applyBorder="1" applyAlignment="1">
      <alignment vertical="center" wrapText="1"/>
    </xf>
    <xf numFmtId="0" fontId="2" fillId="0" borderId="6" xfId="0" applyFont="1" applyBorder="1"/>
    <xf numFmtId="0" fontId="2" fillId="0" borderId="7" xfId="0" applyFont="1" applyBorder="1"/>
    <xf numFmtId="0" fontId="2" fillId="0" borderId="8" xfId="0" applyFont="1" applyBorder="1"/>
    <xf numFmtId="165" fontId="0" fillId="0" borderId="2" xfId="2" applyNumberFormat="1" applyFont="1" applyBorder="1" applyAlignment="1">
      <alignment horizontal="center"/>
    </xf>
    <xf numFmtId="0" fontId="0" fillId="0" borderId="0" xfId="0" applyAlignment="1">
      <alignment vertical="center"/>
    </xf>
    <xf numFmtId="0" fontId="11" fillId="2" borderId="11" xfId="0" applyFont="1" applyFill="1" applyBorder="1" applyAlignment="1">
      <alignment horizontal="center" vertical="center"/>
    </xf>
    <xf numFmtId="0" fontId="6" fillId="4" borderId="12" xfId="0" applyFont="1" applyFill="1" applyBorder="1" applyAlignment="1">
      <alignment horizontal="left" vertical="center" wrapText="1"/>
    </xf>
    <xf numFmtId="0" fontId="11" fillId="5" borderId="11" xfId="0" applyFont="1" applyFill="1" applyBorder="1" applyAlignment="1">
      <alignment horizontal="center" vertical="center"/>
    </xf>
    <xf numFmtId="0" fontId="9" fillId="3" borderId="12" xfId="0" applyFont="1" applyFill="1" applyBorder="1" applyAlignment="1">
      <alignment horizontal="left" vertical="center" wrapText="1"/>
    </xf>
    <xf numFmtId="0" fontId="11" fillId="5" borderId="14" xfId="0" applyFont="1" applyFill="1" applyBorder="1" applyAlignment="1">
      <alignment horizontal="center" vertical="center"/>
    </xf>
    <xf numFmtId="0" fontId="9" fillId="3" borderId="11" xfId="0" applyFont="1" applyFill="1" applyBorder="1" applyAlignment="1">
      <alignment horizontal="left" vertical="center" wrapText="1"/>
    </xf>
    <xf numFmtId="0" fontId="11" fillId="5" borderId="21" xfId="0" applyFont="1" applyFill="1" applyBorder="1" applyAlignment="1">
      <alignment horizontal="center" vertical="center"/>
    </xf>
    <xf numFmtId="0" fontId="13" fillId="8" borderId="23" xfId="0" applyFont="1" applyFill="1" applyBorder="1"/>
    <xf numFmtId="0" fontId="13" fillId="8" borderId="24" xfId="0" applyFont="1" applyFill="1" applyBorder="1"/>
    <xf numFmtId="0" fontId="13" fillId="8" borderId="25" xfId="0" applyFont="1" applyFill="1" applyBorder="1"/>
    <xf numFmtId="0" fontId="14" fillId="0" borderId="26" xfId="0" applyFont="1" applyBorder="1"/>
    <xf numFmtId="166" fontId="10" fillId="0" borderId="27" xfId="0" applyNumberFormat="1" applyFont="1" applyBorder="1"/>
    <xf numFmtId="165" fontId="10" fillId="0" borderId="28" xfId="0" applyNumberFormat="1" applyFont="1" applyBorder="1"/>
    <xf numFmtId="0" fontId="14" fillId="0" borderId="29" xfId="0" applyFont="1" applyBorder="1"/>
    <xf numFmtId="166" fontId="10" fillId="0" borderId="30" xfId="0" applyNumberFormat="1" applyFont="1" applyBorder="1"/>
    <xf numFmtId="165" fontId="10" fillId="0" borderId="31" xfId="0" applyNumberFormat="1" applyFont="1" applyBorder="1"/>
    <xf numFmtId="0" fontId="15" fillId="9" borderId="32" xfId="0" applyFont="1" applyFill="1" applyBorder="1" applyAlignment="1">
      <alignment horizontal="center"/>
    </xf>
    <xf numFmtId="0" fontId="16" fillId="0" borderId="23" xfId="0" applyFont="1" applyBorder="1"/>
    <xf numFmtId="3" fontId="17" fillId="0" borderId="24" xfId="0" applyNumberFormat="1" applyFont="1" applyBorder="1"/>
    <xf numFmtId="0" fontId="16" fillId="0" borderId="26" xfId="0" applyFont="1" applyBorder="1"/>
    <xf numFmtId="3" fontId="17" fillId="0" borderId="27" xfId="0" applyNumberFormat="1" applyFont="1" applyBorder="1"/>
    <xf numFmtId="0" fontId="16" fillId="10" borderId="29" xfId="0" applyFont="1" applyFill="1" applyBorder="1"/>
    <xf numFmtId="3" fontId="16" fillId="10" borderId="30" xfId="0" applyNumberFormat="1" applyFont="1" applyFill="1" applyBorder="1"/>
    <xf numFmtId="167" fontId="0" fillId="0" borderId="2" xfId="1" applyNumberFormat="1" applyFont="1" applyBorder="1" applyAlignment="1">
      <alignment vertical="center"/>
    </xf>
    <xf numFmtId="0" fontId="18" fillId="0" borderId="3" xfId="0" applyFont="1" applyBorder="1"/>
    <xf numFmtId="0" fontId="5" fillId="6" borderId="9" xfId="0" applyFont="1" applyFill="1" applyBorder="1" applyAlignment="1">
      <alignment horizontal="left" vertical="center"/>
    </xf>
    <xf numFmtId="0" fontId="5" fillId="6" borderId="10" xfId="0" applyFont="1" applyFill="1" applyBorder="1" applyAlignment="1">
      <alignment horizontal="left" vertical="center"/>
    </xf>
    <xf numFmtId="0" fontId="5" fillId="6" borderId="19" xfId="0" applyFont="1" applyFill="1" applyBorder="1" applyAlignment="1">
      <alignment horizontal="left" vertical="center"/>
    </xf>
    <xf numFmtId="0" fontId="5" fillId="6" borderId="19" xfId="0" applyFont="1" applyFill="1" applyBorder="1" applyAlignment="1">
      <alignment horizontal="center" vertical="center"/>
    </xf>
    <xf numFmtId="0" fontId="8" fillId="2" borderId="0" xfId="0" applyFont="1" applyFill="1" applyAlignment="1">
      <alignment horizontal="left" vertical="center"/>
    </xf>
    <xf numFmtId="0" fontId="7" fillId="2" borderId="0" xfId="0" applyFont="1" applyFill="1" applyAlignment="1">
      <alignment horizontal="center" vertical="center"/>
    </xf>
    <xf numFmtId="0" fontId="7" fillId="2" borderId="12" xfId="0" applyFont="1" applyFill="1" applyBorder="1" applyAlignment="1">
      <alignment horizontal="left" vertical="center" wrapText="1"/>
    </xf>
    <xf numFmtId="0" fontId="8" fillId="2" borderId="18" xfId="0" applyFont="1" applyFill="1" applyBorder="1" applyAlignment="1">
      <alignment horizontal="left" vertical="center"/>
    </xf>
    <xf numFmtId="0" fontId="7" fillId="2" borderId="18" xfId="0" applyFont="1" applyFill="1" applyBorder="1" applyAlignment="1">
      <alignment horizontal="center" vertical="center"/>
    </xf>
    <xf numFmtId="0" fontId="7" fillId="5" borderId="12" xfId="0" applyFont="1" applyFill="1" applyBorder="1" applyAlignment="1">
      <alignment horizontal="left" vertical="center" wrapText="1"/>
    </xf>
    <xf numFmtId="0" fontId="8" fillId="5" borderId="12" xfId="0" applyFont="1" applyFill="1" applyBorder="1" applyAlignment="1">
      <alignment horizontal="left" vertical="center"/>
    </xf>
    <xf numFmtId="0" fontId="8" fillId="2" borderId="12" xfId="0" applyFont="1" applyFill="1" applyBorder="1" applyAlignment="1">
      <alignment horizontal="left" vertical="center"/>
    </xf>
    <xf numFmtId="0" fontId="7" fillId="5" borderId="12" xfId="0" applyFont="1" applyFill="1" applyBorder="1" applyAlignment="1">
      <alignment horizontal="center" vertical="center"/>
    </xf>
    <xf numFmtId="0" fontId="8" fillId="2" borderId="17" xfId="0" applyFont="1" applyFill="1" applyBorder="1" applyAlignment="1">
      <alignment horizontal="left" vertical="center"/>
    </xf>
    <xf numFmtId="0" fontId="7" fillId="2" borderId="17" xfId="0" applyFont="1" applyFill="1" applyBorder="1" applyAlignment="1">
      <alignment horizontal="center" vertical="center"/>
    </xf>
    <xf numFmtId="0" fontId="8" fillId="5" borderId="18" xfId="0" applyFont="1" applyFill="1" applyBorder="1" applyAlignment="1">
      <alignment horizontal="left" vertical="center"/>
    </xf>
    <xf numFmtId="0" fontId="7" fillId="5" borderId="18" xfId="0" applyFont="1" applyFill="1" applyBorder="1" applyAlignment="1">
      <alignment horizontal="center" vertical="center"/>
    </xf>
    <xf numFmtId="0" fontId="7" fillId="5" borderId="11" xfId="0" applyFont="1" applyFill="1" applyBorder="1" applyAlignment="1">
      <alignment horizontal="left" vertical="center" wrapText="1"/>
    </xf>
    <xf numFmtId="0" fontId="7" fillId="2" borderId="12" xfId="0" applyFont="1" applyFill="1" applyBorder="1" applyAlignment="1">
      <alignment horizontal="center" vertical="center"/>
    </xf>
    <xf numFmtId="0" fontId="8" fillId="5" borderId="17" xfId="0" applyFont="1" applyFill="1" applyBorder="1" applyAlignment="1">
      <alignment horizontal="left" vertical="center"/>
    </xf>
    <xf numFmtId="0" fontId="7" fillId="5" borderId="17" xfId="0" applyFont="1" applyFill="1" applyBorder="1" applyAlignment="1">
      <alignment horizontal="center" vertical="center"/>
    </xf>
    <xf numFmtId="0" fontId="8" fillId="5" borderId="0" xfId="0" applyFont="1" applyFill="1" applyAlignment="1">
      <alignment horizontal="left" vertical="center"/>
    </xf>
    <xf numFmtId="0" fontId="7" fillId="5" borderId="0" xfId="0" applyFont="1" applyFill="1" applyAlignment="1">
      <alignment horizontal="center" vertical="center"/>
    </xf>
    <xf numFmtId="0" fontId="8" fillId="2" borderId="20" xfId="0" applyFont="1" applyFill="1" applyBorder="1" applyAlignment="1">
      <alignment horizontal="left" vertical="center"/>
    </xf>
    <xf numFmtId="0" fontId="7" fillId="2" borderId="20" xfId="0" applyFont="1" applyFill="1" applyBorder="1" applyAlignment="1">
      <alignment horizontal="center" vertical="center"/>
    </xf>
    <xf numFmtId="0" fontId="3" fillId="0" borderId="0" xfId="3" applyAlignment="1">
      <alignment vertical="center"/>
    </xf>
    <xf numFmtId="0" fontId="3" fillId="0" borderId="0" xfId="0" applyFont="1" applyAlignment="1">
      <alignment vertical="center"/>
    </xf>
    <xf numFmtId="0" fontId="2" fillId="0" borderId="2" xfId="0" applyFont="1" applyBorder="1" applyAlignment="1">
      <alignment vertical="center" wrapText="1"/>
    </xf>
    <xf numFmtId="0" fontId="0" fillId="0" borderId="7" xfId="0" applyBorder="1"/>
    <xf numFmtId="0" fontId="0" fillId="0" borderId="8" xfId="0" applyBorder="1"/>
    <xf numFmtId="168" fontId="0" fillId="0" borderId="1" xfId="0" applyNumberFormat="1" applyBorder="1" applyAlignment="1">
      <alignment vertical="center" wrapText="1"/>
    </xf>
    <xf numFmtId="0" fontId="0" fillId="0" borderId="0" xfId="0" applyAlignment="1">
      <alignment vertical="center" wrapText="1"/>
    </xf>
    <xf numFmtId="0" fontId="3" fillId="0" borderId="0" xfId="0" applyFont="1" applyAlignment="1">
      <alignment vertical="center" wrapText="1"/>
    </xf>
    <xf numFmtId="0" fontId="2" fillId="0" borderId="0" xfId="0" applyFont="1" applyAlignment="1">
      <alignment vertical="center"/>
    </xf>
    <xf numFmtId="0" fontId="19" fillId="0" borderId="0" xfId="4" applyAlignment="1">
      <alignment vertical="center" wrapText="1"/>
    </xf>
    <xf numFmtId="0" fontId="2" fillId="0" borderId="0" xfId="0" applyFont="1"/>
    <xf numFmtId="0" fontId="0" fillId="0" borderId="0" xfId="0" applyAlignment="1">
      <alignment horizontal="center" vertical="center"/>
    </xf>
    <xf numFmtId="0" fontId="11" fillId="2" borderId="15" xfId="0" applyFont="1" applyFill="1" applyBorder="1" applyAlignment="1">
      <alignment vertical="center"/>
    </xf>
    <xf numFmtId="0" fontId="11" fillId="2" borderId="16" xfId="0" applyFont="1" applyFill="1" applyBorder="1" applyAlignment="1">
      <alignment vertical="center"/>
    </xf>
    <xf numFmtId="0" fontId="20" fillId="0" borderId="0" xfId="0" applyFont="1" applyAlignment="1">
      <alignment vertical="center"/>
    </xf>
    <xf numFmtId="0" fontId="5" fillId="6" borderId="10" xfId="0" applyFont="1" applyFill="1" applyBorder="1" applyAlignment="1">
      <alignment horizontal="left" vertical="center" wrapText="1"/>
    </xf>
    <xf numFmtId="0" fontId="11" fillId="2" borderId="16" xfId="0" applyFont="1" applyFill="1" applyBorder="1" applyAlignment="1">
      <alignment vertical="center" wrapText="1"/>
    </xf>
    <xf numFmtId="0" fontId="0" fillId="0" borderId="0" xfId="0" applyAlignment="1">
      <alignment horizontal="center" vertical="center" wrapText="1"/>
    </xf>
    <xf numFmtId="0" fontId="0" fillId="0" borderId="0" xfId="0" applyAlignment="1">
      <alignment horizontal="center" vertical="top" wrapText="1"/>
    </xf>
    <xf numFmtId="0" fontId="0" fillId="0" borderId="33" xfId="0" applyBorder="1"/>
    <xf numFmtId="0" fontId="0" fillId="0" borderId="33" xfId="0" applyBorder="1" applyAlignment="1">
      <alignment horizontal="center" vertical="top" wrapText="1"/>
    </xf>
    <xf numFmtId="0" fontId="0" fillId="0" borderId="34" xfId="0" applyBorder="1"/>
    <xf numFmtId="0" fontId="0" fillId="0" borderId="34" xfId="0" applyBorder="1" applyAlignment="1">
      <alignment horizontal="center" vertical="top" wrapText="1"/>
    </xf>
    <xf numFmtId="0" fontId="0" fillId="7" borderId="33" xfId="0" applyFill="1" applyBorder="1" applyAlignment="1">
      <alignment horizontal="center" vertical="center" wrapText="1"/>
    </xf>
    <xf numFmtId="0" fontId="0" fillId="7" borderId="34" xfId="0" applyFill="1" applyBorder="1" applyAlignment="1">
      <alignment horizontal="center" vertical="center" wrapText="1"/>
    </xf>
    <xf numFmtId="0" fontId="0" fillId="7" borderId="0" xfId="0" applyFill="1" applyAlignment="1">
      <alignment horizontal="center" vertical="center" wrapText="1"/>
    </xf>
    <xf numFmtId="0" fontId="0" fillId="11" borderId="33" xfId="0" applyFill="1" applyBorder="1" applyAlignment="1">
      <alignment horizontal="left" vertical="center" wrapText="1"/>
    </xf>
    <xf numFmtId="0" fontId="0" fillId="11" borderId="33" xfId="0" applyFill="1" applyBorder="1"/>
    <xf numFmtId="0" fontId="0" fillId="12" borderId="0" xfId="0" applyFill="1"/>
    <xf numFmtId="0" fontId="12" fillId="7" borderId="13" xfId="0" applyFont="1" applyFill="1" applyBorder="1" applyAlignment="1">
      <alignment vertical="center"/>
    </xf>
    <xf numFmtId="14" fontId="0" fillId="0" borderId="0" xfId="0" applyNumberFormat="1"/>
    <xf numFmtId="0" fontId="7" fillId="13" borderId="12" xfId="0" applyFont="1" applyFill="1" applyBorder="1" applyAlignment="1">
      <alignment horizontal="left" vertical="center" wrapText="1"/>
    </xf>
    <xf numFmtId="0" fontId="7" fillId="14" borderId="12" xfId="0" applyFont="1" applyFill="1" applyBorder="1" applyAlignment="1">
      <alignment horizontal="left" vertical="center" wrapText="1"/>
    </xf>
    <xf numFmtId="14" fontId="0" fillId="0" borderId="0" xfId="0" applyNumberFormat="1" applyAlignment="1">
      <alignment vertical="center"/>
    </xf>
    <xf numFmtId="0" fontId="5" fillId="6" borderId="19" xfId="0" applyFont="1" applyFill="1" applyBorder="1" applyAlignment="1">
      <alignment horizontal="left" vertical="center" wrapText="1"/>
    </xf>
    <xf numFmtId="0" fontId="7" fillId="2" borderId="0" xfId="0" applyFont="1" applyFill="1" applyAlignment="1">
      <alignment horizontal="left" vertical="center" wrapText="1"/>
    </xf>
    <xf numFmtId="0" fontId="7" fillId="2" borderId="18" xfId="0" applyFont="1" applyFill="1" applyBorder="1" applyAlignment="1">
      <alignment horizontal="left" vertical="center" wrapText="1"/>
    </xf>
    <xf numFmtId="0" fontId="7" fillId="2" borderId="17" xfId="0" applyFont="1" applyFill="1" applyBorder="1" applyAlignment="1">
      <alignment horizontal="left" vertical="center" wrapText="1"/>
    </xf>
    <xf numFmtId="0" fontId="7" fillId="5" borderId="18" xfId="0" applyFont="1" applyFill="1" applyBorder="1" applyAlignment="1">
      <alignment horizontal="left" vertical="center" wrapText="1"/>
    </xf>
    <xf numFmtId="0" fontId="7" fillId="5" borderId="17" xfId="0" applyFont="1" applyFill="1" applyBorder="1" applyAlignment="1">
      <alignment horizontal="left" vertical="center" wrapText="1"/>
    </xf>
    <xf numFmtId="0" fontId="7" fillId="5" borderId="0" xfId="0" applyFont="1" applyFill="1" applyAlignment="1">
      <alignment horizontal="left" vertical="center" wrapText="1"/>
    </xf>
    <xf numFmtId="0" fontId="7" fillId="2" borderId="20" xfId="0" applyFont="1" applyFill="1" applyBorder="1" applyAlignment="1">
      <alignment horizontal="left" vertical="center" wrapText="1"/>
    </xf>
    <xf numFmtId="0" fontId="20" fillId="0" borderId="0" xfId="0" applyFont="1" applyAlignment="1">
      <alignment vertical="center" wrapText="1"/>
    </xf>
    <xf numFmtId="0" fontId="11" fillId="2" borderId="35" xfId="0" applyFont="1" applyFill="1" applyBorder="1" applyAlignment="1">
      <alignment horizontal="center" vertical="center"/>
    </xf>
    <xf numFmtId="0" fontId="7" fillId="5" borderId="36" xfId="0" applyFont="1" applyFill="1" applyBorder="1" applyAlignment="1">
      <alignment horizontal="left" vertical="center" wrapText="1"/>
    </xf>
    <xf numFmtId="14" fontId="0" fillId="0" borderId="34" xfId="0" applyNumberFormat="1" applyBorder="1" applyAlignment="1">
      <alignment horizontal="left" vertical="center" wrapText="1"/>
    </xf>
    <xf numFmtId="0" fontId="0" fillId="0" borderId="34" xfId="0" applyBorder="1" applyAlignment="1">
      <alignment horizontal="center" vertical="center"/>
    </xf>
    <xf numFmtId="14" fontId="0" fillId="0" borderId="34" xfId="0" applyNumberFormat="1" applyBorder="1" applyAlignment="1">
      <alignment horizontal="center" vertical="top" wrapText="1"/>
    </xf>
    <xf numFmtId="0" fontId="0" fillId="15" borderId="0" xfId="0" applyFill="1" applyAlignment="1">
      <alignment horizontal="center" vertical="center"/>
    </xf>
    <xf numFmtId="0" fontId="0" fillId="0" borderId="0" xfId="0" applyAlignment="1">
      <alignment wrapText="1"/>
    </xf>
    <xf numFmtId="0" fontId="0" fillId="16" borderId="0" xfId="0" applyFill="1"/>
    <xf numFmtId="0" fontId="21" fillId="0" borderId="0" xfId="0" applyFont="1" applyAlignment="1">
      <alignment horizontal="center"/>
    </xf>
    <xf numFmtId="0" fontId="21" fillId="0" borderId="0" xfId="0" applyFont="1" applyAlignment="1">
      <alignment horizontal="center"/>
    </xf>
    <xf numFmtId="0" fontId="20" fillId="7" borderId="13" xfId="0" applyFont="1" applyFill="1" applyBorder="1" applyAlignment="1">
      <alignment horizontal="center" vertical="center"/>
    </xf>
    <xf numFmtId="0" fontId="12" fillId="7" borderId="13" xfId="0" applyFont="1" applyFill="1" applyBorder="1" applyAlignment="1">
      <alignment horizontal="center"/>
    </xf>
    <xf numFmtId="0" fontId="4" fillId="0" borderId="22" xfId="0" applyFont="1" applyBorder="1" applyAlignment="1">
      <alignment horizontal="center"/>
    </xf>
  </cellXfs>
  <cellStyles count="5">
    <cellStyle name="Comma" xfId="1" builtinId="3"/>
    <cellStyle name="Hyperlink" xfId="4" builtinId="8"/>
    <cellStyle name="Normal" xfId="0" builtinId="0"/>
    <cellStyle name="Normal 2" xfId="3" xr:uid="{7FF0CE30-0B9D-426B-BC7E-51225BA0C8E4}"/>
    <cellStyle name="Percent" xfId="2" builtinId="5"/>
  </cellStyles>
  <dxfs count="39">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top" textRotation="0" wrapText="1" indent="0" justifyLastLine="0" shrinkToFit="0" readingOrder="0"/>
    </dxf>
    <dxf>
      <border diagonalUp="0" diagonalDown="0">
        <left/>
        <right style="thin">
          <color indexed="64"/>
        </right>
        <top/>
        <bottom/>
        <vertical/>
        <horizontal/>
      </border>
    </dxf>
    <dxf>
      <alignment horizontal="center" vertical="center"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top" textRotation="0" wrapText="1" indent="0" justifyLastLine="0" shrinkToFit="0" readingOrder="0"/>
    </dxf>
    <dxf>
      <border diagonalUp="0" diagonalDown="0">
        <left style="thin">
          <color indexed="64"/>
        </left>
        <right/>
        <top/>
        <bottom/>
        <vertical/>
        <horizontal/>
      </border>
    </dxf>
    <dxf>
      <alignment horizontal="center" vertical="center" textRotation="0" wrapText="1" indent="0" justifyLastLine="0" shrinkToFit="0" readingOrder="0"/>
    </dxf>
    <dxf>
      <border diagonalUp="0" diagonalDown="0">
        <left/>
        <right style="thin">
          <color indexed="64"/>
        </right>
        <top/>
        <bottom/>
        <vertical/>
        <horizontal/>
      </border>
    </dxf>
    <dxf>
      <alignment horizontal="center" vertical="center" textRotation="0" wrapText="1"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1" indent="0" justifyLastLine="0" shrinkToFit="0" readingOrder="0"/>
    </dxf>
    <dxf>
      <alignment horizontal="general" vertical="center" textRotation="0" wrapText="0" indent="0" justifyLastLine="0" shrinkToFit="0" readingOrder="0"/>
    </dxf>
    <dxf>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3E5EF94-2F8D-4D31-AB84-67319CA7D540}" name="Tablo1" displayName="Tablo1" ref="B39:G57" totalsRowShown="0" headerRowDxfId="38" dataDxfId="37">
  <autoFilter ref="B39:G57" xr:uid="{B3E5EF94-2F8D-4D31-AB84-67319CA7D540}"/>
  <tableColumns count="6">
    <tableColumn id="1" xr3:uid="{C9A71C72-F52C-4059-A7A8-3ED35567B4C2}" name="Kayıt Tarihi"/>
    <tableColumn id="2" xr3:uid="{AE4C0E8B-7E73-48C9-BE01-597B3A526918}" name="Konu" dataDxfId="36"/>
    <tableColumn id="11" xr3:uid="{DB76033E-0855-4507-9D1F-6222556F33C8}" name="Sorumlu" dataDxfId="35"/>
    <tableColumn id="3" xr3:uid="{C498A313-7A53-4238-AC80-10AFD464295E}" name="Tamamlanması Planlanan Tarih" dataDxfId="34"/>
    <tableColumn id="4" xr3:uid="{12CED6C4-E2D4-438C-8F33-6959AD8DBA02}" name="Gerçekleşen Tamamlanma Tarihi" dataDxfId="33"/>
    <tableColumn id="5" xr3:uid="{DBAF77EE-5F63-4A2C-8F42-B7DC67E3FCDF}" name="Açıklama" dataDxfId="32"/>
  </tableColumns>
  <tableStyleInfo name="TableStyleLight9" showFirstColumn="0" showLastColumn="0" showRowStripes="1" showColumnStripes="1"/>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0323632-3197-4179-9CE2-CDF00AD06388}" name="Tablo2" displayName="Tablo2" ref="B3:J6" headerRowCount="0" totalsRowShown="0">
  <tableColumns count="9">
    <tableColumn id="1" xr3:uid="{918F8662-9F97-4A19-8249-3FC441A191B2}" name="Sütun1" headerRowDxfId="31" dataDxfId="30"/>
    <tableColumn id="10" xr3:uid="{2825C488-5B65-4733-98AD-A7C0F8E3BB2C}" name="Sütun9" headerRowDxfId="29" dataDxfId="28"/>
    <tableColumn id="11" xr3:uid="{1AB63A2F-B04B-42B8-82AC-B3DCFA808264}" name="Sütun10" headerRowDxfId="27" dataDxfId="26"/>
    <tableColumn id="12" xr3:uid="{B71D0C66-C8AA-4994-ABD0-058443A3FD5C}" name="Sütun11" headerRowDxfId="25" dataDxfId="24"/>
    <tableColumn id="13" xr3:uid="{3D7DE529-A9D3-48F6-924C-81976D53E9F5}" name="Sütun12" headerRowDxfId="23" dataDxfId="22"/>
    <tableColumn id="14" xr3:uid="{46D5E161-9D5F-48E2-B096-87E44F921B7B}" name="Sütun13" headerRowDxfId="21" dataDxfId="20"/>
    <tableColumn id="15" xr3:uid="{BE2D77E2-910F-413F-8F67-E8E3E724825F}" name="Sütun14" headerRowDxfId="19" dataDxfId="18"/>
    <tableColumn id="16" xr3:uid="{ED5FAC46-A9DA-4416-AF40-73C6942B8708}" name="Sütun15" headerRowDxfId="17"/>
    <tableColumn id="2" xr3:uid="{A4791D41-0AB0-4A1D-B7EF-49F61D636B70}" name="Sütun2" headerRowDxfId="16" dataDxfId="15"/>
  </tableColumns>
  <tableStyleInfo name="TableStyleLight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8D4EE99-64A6-4037-A4DF-DC4C396D5C6D}" name="Tablo24" displayName="Tablo24" ref="B9:I12" headerRowCount="0" totalsRowShown="0">
  <tableColumns count="8">
    <tableColumn id="1" xr3:uid="{CF6BC421-F36F-4490-A2D7-B33181A816D0}" name="Sütun1" headerRowDxfId="14" dataDxfId="13"/>
    <tableColumn id="2" xr3:uid="{255F5B99-4857-4A67-A3C4-6791E9D82D6A}" name="Sütun2" headerRowDxfId="12" dataDxfId="11"/>
    <tableColumn id="4" xr3:uid="{1E68F53B-65BC-4813-B5D6-8E6EC9BF1D81}" name="Sütun4" headerRowDxfId="10" dataDxfId="9"/>
    <tableColumn id="5" xr3:uid="{4C57D8D8-D745-455A-A246-930A33F1284A}" name="Sütun5" headerRowDxfId="8" dataDxfId="7"/>
    <tableColumn id="3" xr3:uid="{077C936A-63AB-4FD7-8BBF-3DA75FB7C288}" name="Sütun3" headerRowDxfId="6" dataDxfId="5"/>
    <tableColumn id="6" xr3:uid="{74A3CBDF-B743-40D1-9B66-38AB404B9915}" name="Sütun6" headerRowDxfId="4" dataDxfId="3"/>
    <tableColumn id="7" xr3:uid="{8E25AE5E-6AC0-4F4E-81DC-8708398944DE}" name="Sütun7" headerRowDxfId="2" dataDxfId="1"/>
    <tableColumn id="8" xr3:uid="{5B99F352-56AF-43E2-A3F3-251022EDE603}" name="Sütun8" headerRowDxfId="0"/>
  </tableColumns>
  <tableStyleInfo name="TableStyleLight8" showFirstColumn="0" showLastColumn="0" showRowStripes="1" showColumnStripes="0"/>
</table>
</file>

<file path=xl/theme/theme1.xml><?xml version="1.0" encoding="utf-8"?>
<a:theme xmlns:a="http://schemas.openxmlformats.org/drawingml/2006/main" name="Office Teması">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jira.lcwaikiki.com/browse/TY-139870" TargetMode="Externa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B956E4-79B1-4696-B5B1-493FCC124242}">
  <dimension ref="A2:B8"/>
  <sheetViews>
    <sheetView workbookViewId="0">
      <selection activeCell="D5" sqref="D5"/>
    </sheetView>
  </sheetViews>
  <sheetFormatPr defaultRowHeight="14.45"/>
  <cols>
    <col min="1" max="1" width="25.5703125" customWidth="1"/>
    <col min="2" max="2" width="96.28515625" style="68" customWidth="1"/>
  </cols>
  <sheetData>
    <row r="2" spans="1:2" ht="28.15" customHeight="1">
      <c r="A2" s="72" t="s">
        <v>0</v>
      </c>
      <c r="B2" s="69" t="s">
        <v>1</v>
      </c>
    </row>
    <row r="3" spans="1:2" ht="30" customHeight="1">
      <c r="A3" s="70" t="s">
        <v>2</v>
      </c>
      <c r="B3" s="71" t="s">
        <v>3</v>
      </c>
    </row>
    <row r="4" spans="1:2" ht="84.6" customHeight="1">
      <c r="A4" s="70" t="s">
        <v>4</v>
      </c>
      <c r="B4" s="68" t="s">
        <v>5</v>
      </c>
    </row>
    <row r="5" spans="1:2" ht="88.15" customHeight="1">
      <c r="A5" s="70" t="s">
        <v>6</v>
      </c>
      <c r="B5" s="68" t="s">
        <v>7</v>
      </c>
    </row>
    <row r="6" spans="1:2" ht="106.9" customHeight="1">
      <c r="A6" s="70" t="s">
        <v>8</v>
      </c>
      <c r="B6" s="68" t="s">
        <v>9</v>
      </c>
    </row>
    <row r="7" spans="1:2" ht="210" customHeight="1">
      <c r="A7" s="70" t="s">
        <v>10</v>
      </c>
      <c r="B7" s="69" t="s">
        <v>11</v>
      </c>
    </row>
    <row r="8" spans="1:2" ht="57.6">
      <c r="A8" s="70" t="s">
        <v>12</v>
      </c>
      <c r="B8" s="69" t="s">
        <v>13</v>
      </c>
    </row>
  </sheetData>
  <hyperlinks>
    <hyperlink ref="B3" r:id="rId1" xr:uid="{E0213061-75E0-4409-8409-0C9B9D9C504B}"/>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2E5E2-E26C-4E21-AB0C-DC6242C4DB40}">
  <dimension ref="B2:J57"/>
  <sheetViews>
    <sheetView topLeftCell="A34" zoomScaleNormal="100" workbookViewId="0">
      <selection activeCell="C42" sqref="C42"/>
    </sheetView>
  </sheetViews>
  <sheetFormatPr defaultColWidth="17.85546875" defaultRowHeight="14.45"/>
  <cols>
    <col min="1" max="1" width="5.140625" customWidth="1"/>
    <col min="2" max="2" width="21.28515625" style="11" customWidth="1"/>
    <col min="3" max="3" width="70.28515625" style="68" customWidth="1"/>
    <col min="4" max="4" width="30.5703125" style="11" customWidth="1"/>
    <col min="5" max="5" width="32.5703125" style="11" customWidth="1"/>
    <col min="6" max="6" width="21.7109375" style="11" customWidth="1"/>
    <col min="7" max="7" width="46.5703125" style="68" customWidth="1"/>
    <col min="8" max="8" width="27.42578125" style="11" customWidth="1"/>
    <col min="9" max="9" width="17.85546875" style="11"/>
    <col min="10" max="10" width="20.7109375" style="11" customWidth="1"/>
  </cols>
  <sheetData>
    <row r="2" spans="2:10" ht="25.9">
      <c r="B2" s="115" t="s">
        <v>14</v>
      </c>
      <c r="C2" s="115"/>
      <c r="D2" s="115"/>
      <c r="E2" s="115"/>
      <c r="F2" s="115"/>
      <c r="G2" s="115"/>
      <c r="H2" s="115"/>
      <c r="I2" s="115"/>
      <c r="J2" s="115"/>
    </row>
    <row r="3" spans="2:10">
      <c r="B3" s="37" t="s">
        <v>15</v>
      </c>
      <c r="C3" s="77" t="s">
        <v>16</v>
      </c>
      <c r="D3" s="38" t="s">
        <v>17</v>
      </c>
      <c r="E3" s="39" t="s">
        <v>18</v>
      </c>
      <c r="F3" s="39" t="s">
        <v>19</v>
      </c>
      <c r="G3" s="96" t="s">
        <v>20</v>
      </c>
      <c r="H3" s="40" t="s">
        <v>21</v>
      </c>
      <c r="I3"/>
      <c r="J3"/>
    </row>
    <row r="4" spans="2:10">
      <c r="B4" s="74" t="s">
        <v>22</v>
      </c>
      <c r="C4" s="78"/>
      <c r="D4" s="75"/>
      <c r="E4" s="41"/>
      <c r="F4" s="41"/>
      <c r="G4" s="97"/>
      <c r="H4" s="42"/>
      <c r="I4"/>
      <c r="J4"/>
    </row>
    <row r="5" spans="2:10" ht="26.45">
      <c r="B5" s="12">
        <v>1</v>
      </c>
      <c r="C5" s="93" t="s">
        <v>23</v>
      </c>
      <c r="D5" s="13" t="s">
        <v>24</v>
      </c>
      <c r="E5" s="44" t="s">
        <v>22</v>
      </c>
      <c r="F5" s="44" t="s">
        <v>25</v>
      </c>
      <c r="G5" s="98"/>
      <c r="H5" s="45"/>
      <c r="I5"/>
      <c r="J5"/>
    </row>
    <row r="6" spans="2:10">
      <c r="B6" s="14">
        <v>2</v>
      </c>
      <c r="C6" s="94" t="s">
        <v>26</v>
      </c>
      <c r="D6" s="15" t="s">
        <v>24</v>
      </c>
      <c r="E6" s="47" t="s">
        <v>22</v>
      </c>
      <c r="F6" s="48" t="s">
        <v>25</v>
      </c>
      <c r="G6" s="46"/>
      <c r="H6" s="49"/>
      <c r="I6"/>
      <c r="J6"/>
    </row>
    <row r="7" spans="2:10">
      <c r="B7" s="12">
        <v>3</v>
      </c>
      <c r="C7" s="93" t="s">
        <v>27</v>
      </c>
      <c r="D7" s="15" t="s">
        <v>24</v>
      </c>
      <c r="E7" s="50" t="s">
        <v>22</v>
      </c>
      <c r="F7" s="50" t="s">
        <v>25</v>
      </c>
      <c r="G7" s="99"/>
      <c r="H7" s="51"/>
      <c r="I7"/>
      <c r="J7"/>
    </row>
    <row r="8" spans="2:10">
      <c r="B8" s="74" t="s">
        <v>28</v>
      </c>
      <c r="C8" s="78"/>
      <c r="D8" s="75"/>
      <c r="E8" s="41"/>
      <c r="F8" s="41"/>
      <c r="G8" s="97"/>
      <c r="H8" s="42"/>
      <c r="I8"/>
      <c r="J8"/>
    </row>
    <row r="9" spans="2:10" ht="26.45">
      <c r="B9" s="14">
        <v>4</v>
      </c>
      <c r="C9" s="46" t="s">
        <v>29</v>
      </c>
      <c r="D9" s="15" t="s">
        <v>30</v>
      </c>
      <c r="E9" s="52" t="s">
        <v>31</v>
      </c>
      <c r="F9" s="44" t="s">
        <v>32</v>
      </c>
      <c r="G9" s="100"/>
      <c r="H9" s="53"/>
      <c r="I9"/>
      <c r="J9"/>
    </row>
    <row r="10" spans="2:10">
      <c r="B10" s="12">
        <v>5</v>
      </c>
      <c r="C10" s="54" t="s">
        <v>33</v>
      </c>
      <c r="D10" s="15" t="s">
        <v>30</v>
      </c>
      <c r="E10" s="47" t="s">
        <v>31</v>
      </c>
      <c r="F10" s="48" t="s">
        <v>25</v>
      </c>
      <c r="G10" s="46"/>
      <c r="H10" s="49"/>
      <c r="I10"/>
      <c r="J10"/>
    </row>
    <row r="11" spans="2:10">
      <c r="B11" s="105"/>
      <c r="C11" s="106" t="s">
        <v>34</v>
      </c>
      <c r="D11" s="15"/>
      <c r="E11" s="47"/>
      <c r="F11" s="48"/>
      <c r="G11" s="46"/>
      <c r="H11" s="49"/>
      <c r="I11"/>
      <c r="J11"/>
    </row>
    <row r="12" spans="2:10">
      <c r="B12" s="16">
        <v>6</v>
      </c>
      <c r="C12" s="43" t="s">
        <v>35</v>
      </c>
      <c r="D12" s="15" t="s">
        <v>30</v>
      </c>
      <c r="E12" s="48" t="s">
        <v>31</v>
      </c>
      <c r="F12" s="48" t="s">
        <v>32</v>
      </c>
      <c r="G12" s="43"/>
      <c r="H12" s="55"/>
      <c r="I12"/>
      <c r="J12"/>
    </row>
    <row r="13" spans="2:10">
      <c r="B13" s="16">
        <v>7</v>
      </c>
      <c r="C13" s="46" t="s">
        <v>36</v>
      </c>
      <c r="D13" s="15" t="s">
        <v>30</v>
      </c>
      <c r="E13" s="47" t="s">
        <v>31</v>
      </c>
      <c r="F13" s="48" t="s">
        <v>37</v>
      </c>
      <c r="G13" s="46"/>
      <c r="H13" s="49"/>
      <c r="I13"/>
      <c r="J13"/>
    </row>
    <row r="14" spans="2:10">
      <c r="B14" s="16">
        <v>8</v>
      </c>
      <c r="C14" s="54" t="s">
        <v>38</v>
      </c>
      <c r="D14" s="17" t="s">
        <v>30</v>
      </c>
      <c r="E14" s="47" t="s">
        <v>31</v>
      </c>
      <c r="F14" s="48" t="s">
        <v>25</v>
      </c>
      <c r="G14" s="46"/>
      <c r="H14" s="49"/>
      <c r="I14"/>
      <c r="J14"/>
    </row>
    <row r="15" spans="2:10">
      <c r="B15" s="16">
        <v>9</v>
      </c>
      <c r="C15" s="54" t="s">
        <v>39</v>
      </c>
      <c r="D15" s="17" t="s">
        <v>30</v>
      </c>
      <c r="E15" s="47" t="s">
        <v>31</v>
      </c>
      <c r="F15" s="48" t="s">
        <v>40</v>
      </c>
      <c r="G15" s="46"/>
      <c r="H15" s="49"/>
      <c r="I15"/>
      <c r="J15"/>
    </row>
    <row r="16" spans="2:10">
      <c r="B16" s="16">
        <v>10</v>
      </c>
      <c r="C16" s="43" t="s">
        <v>41</v>
      </c>
      <c r="D16" s="15" t="s">
        <v>30</v>
      </c>
      <c r="E16" s="48" t="s">
        <v>31</v>
      </c>
      <c r="F16" s="48" t="s">
        <v>32</v>
      </c>
      <c r="G16" s="43"/>
      <c r="H16" s="55"/>
      <c r="I16"/>
      <c r="J16"/>
    </row>
    <row r="17" spans="2:10">
      <c r="B17" s="16">
        <v>11</v>
      </c>
      <c r="C17" s="46" t="s">
        <v>42</v>
      </c>
      <c r="D17" s="15" t="s">
        <v>30</v>
      </c>
      <c r="E17" s="56" t="s">
        <v>31</v>
      </c>
      <c r="F17" s="50" t="s">
        <v>32</v>
      </c>
      <c r="G17" s="101"/>
      <c r="H17" s="57"/>
      <c r="I17"/>
      <c r="J17"/>
    </row>
    <row r="18" spans="2:10">
      <c r="B18" s="74" t="s">
        <v>43</v>
      </c>
      <c r="C18" s="78"/>
      <c r="D18" s="75"/>
      <c r="E18" s="58"/>
      <c r="F18" s="41"/>
      <c r="G18" s="102"/>
      <c r="H18" s="59"/>
      <c r="I18"/>
      <c r="J18"/>
    </row>
    <row r="19" spans="2:10">
      <c r="B19" s="16">
        <v>12</v>
      </c>
      <c r="C19" s="43" t="s">
        <v>44</v>
      </c>
      <c r="D19" s="15" t="s">
        <v>45</v>
      </c>
      <c r="E19" s="44" t="s">
        <v>46</v>
      </c>
      <c r="F19" s="44" t="s">
        <v>47</v>
      </c>
      <c r="G19" s="98"/>
      <c r="H19" s="45"/>
      <c r="I19"/>
      <c r="J19"/>
    </row>
    <row r="20" spans="2:10">
      <c r="B20" s="16">
        <v>13</v>
      </c>
      <c r="C20" s="43" t="s">
        <v>48</v>
      </c>
      <c r="D20" s="15" t="s">
        <v>45</v>
      </c>
      <c r="E20" s="44" t="s">
        <v>46</v>
      </c>
      <c r="F20" s="60" t="s">
        <v>47</v>
      </c>
      <c r="G20" s="103"/>
      <c r="H20" s="61"/>
      <c r="I20"/>
      <c r="J20"/>
    </row>
    <row r="21" spans="2:10">
      <c r="B21" s="16">
        <v>14</v>
      </c>
      <c r="C21" s="46" t="s">
        <v>49</v>
      </c>
      <c r="D21" s="15" t="s">
        <v>45</v>
      </c>
      <c r="E21" s="47" t="s">
        <v>46</v>
      </c>
      <c r="F21" s="48" t="s">
        <v>47</v>
      </c>
      <c r="G21" s="46"/>
      <c r="H21" s="49"/>
      <c r="I21"/>
      <c r="J21"/>
    </row>
    <row r="22" spans="2:10">
      <c r="B22" s="16">
        <v>15</v>
      </c>
      <c r="C22" s="46" t="s">
        <v>50</v>
      </c>
      <c r="D22" s="15" t="s">
        <v>45</v>
      </c>
      <c r="E22" s="47" t="s">
        <v>46</v>
      </c>
      <c r="F22" s="48" t="s">
        <v>47</v>
      </c>
      <c r="G22" s="46"/>
      <c r="H22" s="49"/>
      <c r="I22"/>
      <c r="J22"/>
    </row>
    <row r="23" spans="2:10">
      <c r="B23" s="16">
        <v>16</v>
      </c>
      <c r="C23" s="46" t="s">
        <v>36</v>
      </c>
      <c r="D23" s="15" t="s">
        <v>45</v>
      </c>
      <c r="E23" s="47" t="s">
        <v>51</v>
      </c>
      <c r="F23" s="48" t="s">
        <v>52</v>
      </c>
      <c r="G23" s="46"/>
      <c r="H23" s="49"/>
      <c r="I23"/>
      <c r="J23"/>
    </row>
    <row r="24" spans="2:10">
      <c r="B24" s="16">
        <v>17</v>
      </c>
      <c r="C24" s="54" t="s">
        <v>38</v>
      </c>
      <c r="D24" s="15" t="s">
        <v>45</v>
      </c>
      <c r="E24" s="47" t="s">
        <v>46</v>
      </c>
      <c r="F24" s="48" t="s">
        <v>25</v>
      </c>
      <c r="G24" s="46"/>
      <c r="H24" s="49"/>
      <c r="I24"/>
      <c r="J24"/>
    </row>
    <row r="25" spans="2:10">
      <c r="B25" s="16"/>
      <c r="C25" s="106" t="s">
        <v>53</v>
      </c>
      <c r="D25" s="15"/>
      <c r="E25" s="47"/>
      <c r="F25" s="48"/>
      <c r="G25" s="46"/>
      <c r="H25" s="49"/>
      <c r="I25"/>
      <c r="J25"/>
    </row>
    <row r="26" spans="2:10">
      <c r="B26" s="16"/>
      <c r="C26" s="106" t="s">
        <v>54</v>
      </c>
      <c r="D26" s="15"/>
      <c r="E26" s="47"/>
      <c r="F26" s="48"/>
      <c r="G26" s="46"/>
      <c r="H26" s="49"/>
      <c r="I26"/>
      <c r="J26"/>
    </row>
    <row r="27" spans="2:10">
      <c r="B27" s="16"/>
      <c r="C27" s="106" t="s">
        <v>55</v>
      </c>
      <c r="D27" s="15"/>
      <c r="E27" s="47"/>
      <c r="F27" s="48"/>
      <c r="G27" s="46"/>
      <c r="H27" s="49"/>
      <c r="I27"/>
      <c r="J27"/>
    </row>
    <row r="28" spans="2:10">
      <c r="B28" s="16">
        <v>18</v>
      </c>
      <c r="C28" s="46" t="s">
        <v>56</v>
      </c>
      <c r="D28" s="15" t="s">
        <v>45</v>
      </c>
      <c r="E28" s="47" t="s">
        <v>51</v>
      </c>
      <c r="F28" s="48" t="s">
        <v>47</v>
      </c>
      <c r="G28" s="46"/>
      <c r="H28" s="49"/>
      <c r="I28"/>
      <c r="J28"/>
    </row>
    <row r="29" spans="2:10">
      <c r="B29" s="16">
        <v>17</v>
      </c>
      <c r="C29" s="54" t="s">
        <v>57</v>
      </c>
      <c r="D29" s="15" t="s">
        <v>45</v>
      </c>
      <c r="E29" s="47" t="s">
        <v>46</v>
      </c>
      <c r="F29" s="48" t="s">
        <v>58</v>
      </c>
      <c r="G29" s="46"/>
      <c r="H29" s="49"/>
      <c r="I29"/>
      <c r="J29"/>
    </row>
    <row r="30" spans="2:10">
      <c r="B30" s="16">
        <v>18</v>
      </c>
      <c r="C30" s="46" t="s">
        <v>59</v>
      </c>
      <c r="D30" s="15" t="s">
        <v>45</v>
      </c>
      <c r="E30" s="47" t="s">
        <v>46</v>
      </c>
      <c r="F30" s="48" t="s">
        <v>60</v>
      </c>
      <c r="G30" s="46"/>
      <c r="H30" s="49"/>
      <c r="I30"/>
      <c r="J30"/>
    </row>
    <row r="31" spans="2:10">
      <c r="B31" s="18">
        <v>19</v>
      </c>
      <c r="C31" s="46" t="s">
        <v>61</v>
      </c>
      <c r="D31" s="15" t="s">
        <v>45</v>
      </c>
      <c r="E31" s="47" t="s">
        <v>62</v>
      </c>
      <c r="F31" s="48" t="s">
        <v>25</v>
      </c>
      <c r="G31" s="46"/>
      <c r="H31" s="49"/>
      <c r="I31"/>
      <c r="J31"/>
    </row>
    <row r="32" spans="2:10">
      <c r="B32" s="16">
        <v>20</v>
      </c>
      <c r="C32" s="54" t="s">
        <v>63</v>
      </c>
      <c r="D32" s="15" t="s">
        <v>22</v>
      </c>
      <c r="E32" s="47" t="s">
        <v>22</v>
      </c>
      <c r="F32" s="48" t="s">
        <v>64</v>
      </c>
      <c r="G32" s="46"/>
      <c r="H32" s="49"/>
      <c r="I32"/>
      <c r="J32"/>
    </row>
    <row r="33" spans="2:10">
      <c r="B33" s="18">
        <v>21</v>
      </c>
      <c r="C33" s="46" t="s">
        <v>65</v>
      </c>
      <c r="D33" s="15" t="s">
        <v>22</v>
      </c>
      <c r="E33" s="47" t="s">
        <v>46</v>
      </c>
      <c r="F33" s="48" t="s">
        <v>64</v>
      </c>
      <c r="G33" s="46"/>
      <c r="H33" s="49"/>
      <c r="I33"/>
      <c r="J33"/>
    </row>
    <row r="38" spans="2:10" ht="25.9">
      <c r="D38" s="76" t="s">
        <v>66</v>
      </c>
      <c r="F38" s="76"/>
      <c r="G38" s="104"/>
    </row>
    <row r="39" spans="2:10" s="79" customFormat="1" ht="28.9">
      <c r="B39" s="79" t="s">
        <v>67</v>
      </c>
      <c r="C39" s="79" t="s">
        <v>68</v>
      </c>
      <c r="D39" s="79" t="s">
        <v>69</v>
      </c>
      <c r="E39" s="79" t="s">
        <v>70</v>
      </c>
      <c r="F39" s="79" t="s">
        <v>71</v>
      </c>
      <c r="G39" s="79" t="s">
        <v>72</v>
      </c>
    </row>
    <row r="40" spans="2:10" ht="39.6">
      <c r="B40" s="92">
        <v>46189</v>
      </c>
      <c r="C40" s="43" t="s">
        <v>73</v>
      </c>
      <c r="D40" s="11" t="s">
        <v>25</v>
      </c>
      <c r="E40" s="95">
        <v>46192</v>
      </c>
      <c r="H40"/>
      <c r="I40"/>
      <c r="J40"/>
    </row>
    <row r="41" spans="2:10">
      <c r="B41" s="92">
        <v>46189</v>
      </c>
      <c r="C41" s="68" t="s">
        <v>74</v>
      </c>
      <c r="D41" s="11" t="s">
        <v>25</v>
      </c>
      <c r="E41" s="11" t="s">
        <v>75</v>
      </c>
      <c r="H41"/>
      <c r="I41"/>
      <c r="J41"/>
    </row>
    <row r="42" spans="2:10" ht="43.15">
      <c r="B42" s="92">
        <v>46189</v>
      </c>
      <c r="C42" s="68" t="s">
        <v>76</v>
      </c>
      <c r="D42" s="11" t="s">
        <v>40</v>
      </c>
      <c r="E42" s="95" t="s">
        <v>77</v>
      </c>
      <c r="H42"/>
      <c r="I42"/>
      <c r="J42"/>
    </row>
    <row r="43" spans="2:10">
      <c r="B43" s="92">
        <v>46189</v>
      </c>
      <c r="C43" s="106" t="s">
        <v>34</v>
      </c>
      <c r="E43" s="95"/>
      <c r="H43"/>
      <c r="I43"/>
      <c r="J43"/>
    </row>
    <row r="44" spans="2:10" ht="26.45">
      <c r="B44" s="92">
        <v>46189</v>
      </c>
      <c r="C44" s="43" t="s">
        <v>78</v>
      </c>
      <c r="D44" s="11" t="s">
        <v>79</v>
      </c>
      <c r="E44" s="95">
        <v>46235</v>
      </c>
      <c r="G44" s="68" t="s">
        <v>80</v>
      </c>
      <c r="H44"/>
      <c r="I44"/>
      <c r="J44"/>
    </row>
    <row r="45" spans="2:10" ht="28.9">
      <c r="B45" s="92">
        <v>46189</v>
      </c>
      <c r="C45" s="46" t="s">
        <v>81</v>
      </c>
      <c r="D45" s="11" t="s">
        <v>82</v>
      </c>
      <c r="G45" s="68" t="s">
        <v>83</v>
      </c>
      <c r="H45"/>
      <c r="I45"/>
      <c r="J45"/>
    </row>
    <row r="46" spans="2:10">
      <c r="B46" s="92">
        <v>46189</v>
      </c>
      <c r="C46" s="68" t="s">
        <v>84</v>
      </c>
      <c r="D46" s="11" t="s">
        <v>25</v>
      </c>
      <c r="H46"/>
      <c r="I46"/>
      <c r="J46"/>
    </row>
    <row r="47" spans="2:10">
      <c r="B47" s="92">
        <v>46189</v>
      </c>
      <c r="C47" s="68" t="s">
        <v>85</v>
      </c>
      <c r="D47" s="11" t="s">
        <v>86</v>
      </c>
      <c r="H47"/>
      <c r="I47"/>
      <c r="J47"/>
    </row>
    <row r="48" spans="2:10">
      <c r="B48"/>
      <c r="H48"/>
      <c r="I48"/>
      <c r="J48"/>
    </row>
    <row r="49" spans="3:7" customFormat="1">
      <c r="C49" s="68"/>
      <c r="D49" s="11"/>
      <c r="E49" s="11"/>
      <c r="F49" s="11"/>
      <c r="G49" s="68"/>
    </row>
    <row r="50" spans="3:7" customFormat="1">
      <c r="C50" s="68"/>
      <c r="D50" s="11"/>
      <c r="E50" s="11"/>
      <c r="F50" s="11"/>
      <c r="G50" s="68"/>
    </row>
    <row r="51" spans="3:7" customFormat="1">
      <c r="C51" s="68"/>
      <c r="D51" s="11"/>
      <c r="E51" s="11"/>
      <c r="F51" s="11"/>
      <c r="G51" s="68"/>
    </row>
    <row r="52" spans="3:7" customFormat="1">
      <c r="C52" s="68"/>
      <c r="D52" s="11"/>
      <c r="E52" s="11"/>
      <c r="F52" s="11"/>
      <c r="G52" s="68"/>
    </row>
    <row r="53" spans="3:7" customFormat="1">
      <c r="C53" s="68"/>
      <c r="D53" s="11"/>
      <c r="E53" s="11"/>
      <c r="F53" s="11"/>
      <c r="G53" s="68"/>
    </row>
    <row r="54" spans="3:7" customFormat="1">
      <c r="C54" s="68"/>
      <c r="D54" s="11"/>
      <c r="E54" s="11"/>
      <c r="F54" s="11"/>
      <c r="G54" s="68"/>
    </row>
    <row r="55" spans="3:7" customFormat="1">
      <c r="C55" s="68"/>
      <c r="D55" s="11"/>
      <c r="E55" s="11"/>
      <c r="F55" s="11"/>
      <c r="G55" s="68"/>
    </row>
    <row r="56" spans="3:7" customFormat="1">
      <c r="C56" s="68"/>
      <c r="D56" s="11"/>
      <c r="E56" s="11"/>
      <c r="F56" s="11"/>
      <c r="G56" s="68"/>
    </row>
    <row r="57" spans="3:7" customFormat="1">
      <c r="C57" s="68"/>
      <c r="D57" s="11"/>
      <c r="E57" s="11"/>
      <c r="F57" s="11"/>
      <c r="G57" s="68"/>
    </row>
  </sheetData>
  <mergeCells count="1">
    <mergeCell ref="B2:J2"/>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2937E-96B3-43B8-BFE9-6401AA210193}">
  <dimension ref="B2:J12"/>
  <sheetViews>
    <sheetView workbookViewId="0">
      <selection activeCell="J19" sqref="J19"/>
    </sheetView>
  </sheetViews>
  <sheetFormatPr defaultRowHeight="14.45"/>
  <cols>
    <col min="2" max="2" width="19.28515625" customWidth="1"/>
    <col min="3" max="3" width="13.5703125" customWidth="1"/>
    <col min="4" max="5" width="15.42578125" customWidth="1"/>
    <col min="6" max="6" width="17.42578125" customWidth="1"/>
    <col min="7" max="7" width="13.28515625" customWidth="1"/>
    <col min="8" max="8" width="18.28515625" customWidth="1"/>
    <col min="9" max="9" width="15.28515625" customWidth="1"/>
    <col min="10" max="10" width="24.7109375" customWidth="1"/>
    <col min="11" max="11" width="17.7109375" customWidth="1"/>
    <col min="12" max="12" width="13.7109375" customWidth="1"/>
    <col min="13" max="13" width="16.7109375" customWidth="1"/>
    <col min="14" max="14" width="15.28515625" customWidth="1"/>
    <col min="15" max="15" width="13.7109375" customWidth="1"/>
    <col min="16" max="16" width="14.5703125" customWidth="1"/>
  </cols>
  <sheetData>
    <row r="2" spans="2:10">
      <c r="B2" s="90" t="s">
        <v>87</v>
      </c>
    </row>
    <row r="3" spans="2:10" s="73" customFormat="1" ht="51" customHeight="1">
      <c r="B3" s="85" t="s">
        <v>88</v>
      </c>
      <c r="C3" s="86" t="s">
        <v>89</v>
      </c>
      <c r="D3" s="86" t="s">
        <v>90</v>
      </c>
      <c r="E3" s="86" t="s">
        <v>91</v>
      </c>
      <c r="F3" s="86" t="s">
        <v>92</v>
      </c>
      <c r="G3" s="86" t="s">
        <v>93</v>
      </c>
      <c r="H3" s="86" t="s">
        <v>94</v>
      </c>
      <c r="I3" s="87" t="s">
        <v>95</v>
      </c>
      <c r="J3" s="108"/>
    </row>
    <row r="4" spans="2:10">
      <c r="B4" s="88" t="s">
        <v>96</v>
      </c>
      <c r="C4" s="107">
        <v>46235</v>
      </c>
      <c r="D4" s="109">
        <v>46283</v>
      </c>
      <c r="E4" s="84"/>
      <c r="F4" s="84"/>
      <c r="G4" s="84"/>
      <c r="H4" s="84"/>
      <c r="I4" s="80"/>
      <c r="J4" s="83"/>
    </row>
    <row r="5" spans="2:10">
      <c r="B5" s="88" t="s">
        <v>97</v>
      </c>
      <c r="C5" s="107">
        <v>46235</v>
      </c>
      <c r="D5" s="109">
        <v>46283</v>
      </c>
      <c r="E5" s="84"/>
      <c r="F5" s="84"/>
      <c r="G5" s="84"/>
      <c r="H5" s="84"/>
      <c r="I5" s="80"/>
      <c r="J5" s="83" t="s">
        <v>98</v>
      </c>
    </row>
    <row r="6" spans="2:10">
      <c r="B6" s="89" t="s">
        <v>99</v>
      </c>
      <c r="C6" s="107">
        <v>46235</v>
      </c>
      <c r="D6" s="109">
        <v>46283</v>
      </c>
      <c r="E6" s="83"/>
      <c r="F6" s="83"/>
      <c r="G6" s="83"/>
      <c r="H6" s="83"/>
      <c r="J6" s="83"/>
    </row>
    <row r="8" spans="2:10">
      <c r="B8" s="90" t="s">
        <v>100</v>
      </c>
    </row>
    <row r="9" spans="2:10" ht="57.6">
      <c r="B9" s="85" t="s">
        <v>88</v>
      </c>
      <c r="C9" s="86" t="s">
        <v>101</v>
      </c>
      <c r="D9" s="85" t="s">
        <v>102</v>
      </c>
      <c r="E9" s="85" t="s">
        <v>103</v>
      </c>
      <c r="F9" s="85" t="s">
        <v>104</v>
      </c>
      <c r="G9" s="85" t="s">
        <v>105</v>
      </c>
      <c r="H9" s="85" t="s">
        <v>106</v>
      </c>
      <c r="I9" s="87" t="s">
        <v>107</v>
      </c>
    </row>
    <row r="10" spans="2:10">
      <c r="B10" s="88" t="s">
        <v>96</v>
      </c>
      <c r="C10" s="82"/>
      <c r="D10" s="82"/>
      <c r="E10" s="82"/>
      <c r="F10" s="82"/>
      <c r="G10" s="82"/>
      <c r="H10" s="82"/>
      <c r="I10" s="80"/>
    </row>
    <row r="11" spans="2:10">
      <c r="B11" s="88" t="s">
        <v>97</v>
      </c>
      <c r="C11" s="81"/>
      <c r="D11" s="81"/>
      <c r="E11" s="81"/>
      <c r="F11" s="81"/>
      <c r="G11" s="81"/>
      <c r="H11" s="81"/>
    </row>
    <row r="12" spans="2:10">
      <c r="B12" s="89" t="s">
        <v>99</v>
      </c>
      <c r="C12" s="81"/>
      <c r="D12" s="81"/>
      <c r="E12" s="81"/>
      <c r="F12" s="81"/>
      <c r="G12" s="81"/>
      <c r="H12" s="81"/>
    </row>
  </sheetData>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76521-3ED2-40D6-A50C-6918A8656DAE}">
  <dimension ref="B2:B25"/>
  <sheetViews>
    <sheetView workbookViewId="0">
      <selection activeCell="G18" sqref="G18"/>
    </sheetView>
  </sheetViews>
  <sheetFormatPr defaultRowHeight="14.45"/>
  <cols>
    <col min="2" max="2" width="42.7109375" style="11" customWidth="1"/>
  </cols>
  <sheetData>
    <row r="2" spans="2:2" ht="23.45">
      <c r="B2" s="91" t="s">
        <v>108</v>
      </c>
    </row>
    <row r="3" spans="2:2">
      <c r="B3" s="38" t="s">
        <v>109</v>
      </c>
    </row>
    <row r="4" spans="2:2">
      <c r="B4" s="62" t="s">
        <v>110</v>
      </c>
    </row>
    <row r="5" spans="2:2">
      <c r="B5" s="62" t="s">
        <v>111</v>
      </c>
    </row>
    <row r="6" spans="2:2">
      <c r="B6" s="63" t="s">
        <v>112</v>
      </c>
    </row>
    <row r="7" spans="2:2">
      <c r="B7" s="63" t="s">
        <v>113</v>
      </c>
    </row>
    <row r="8" spans="2:2">
      <c r="B8" s="62" t="s">
        <v>114</v>
      </c>
    </row>
    <row r="9" spans="2:2">
      <c r="B9" s="63" t="s">
        <v>115</v>
      </c>
    </row>
    <row r="10" spans="2:2">
      <c r="B10" s="62" t="s">
        <v>116</v>
      </c>
    </row>
    <row r="11" spans="2:2">
      <c r="B11" s="62" t="s">
        <v>117</v>
      </c>
    </row>
    <row r="12" spans="2:2">
      <c r="B12" s="62" t="s">
        <v>118</v>
      </c>
    </row>
    <row r="13" spans="2:2">
      <c r="B13" s="62" t="s">
        <v>119</v>
      </c>
    </row>
    <row r="14" spans="2:2">
      <c r="B14" s="62" t="s">
        <v>120</v>
      </c>
    </row>
    <row r="15" spans="2:2">
      <c r="B15" s="62" t="s">
        <v>121</v>
      </c>
    </row>
    <row r="16" spans="2:2">
      <c r="B16" s="62" t="s">
        <v>122</v>
      </c>
    </row>
    <row r="17" spans="2:2">
      <c r="B17" s="62" t="s">
        <v>123</v>
      </c>
    </row>
    <row r="18" spans="2:2">
      <c r="B18" s="62" t="s">
        <v>124</v>
      </c>
    </row>
    <row r="19" spans="2:2">
      <c r="B19" s="62" t="s">
        <v>125</v>
      </c>
    </row>
    <row r="20" spans="2:2">
      <c r="B20" s="62" t="s">
        <v>126</v>
      </c>
    </row>
    <row r="21" spans="2:2">
      <c r="B21" s="62" t="s">
        <v>127</v>
      </c>
    </row>
    <row r="22" spans="2:2">
      <c r="B22" s="62" t="s">
        <v>128</v>
      </c>
    </row>
    <row r="23" spans="2:2">
      <c r="B23" s="62" t="s">
        <v>129</v>
      </c>
    </row>
    <row r="24" spans="2:2">
      <c r="B24" s="62" t="s">
        <v>130</v>
      </c>
    </row>
    <row r="25" spans="2:2">
      <c r="B25" s="62" t="s">
        <v>131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E55DC7-223F-435B-BD96-663EE9013979}">
  <dimension ref="B3:D24"/>
  <sheetViews>
    <sheetView showGridLines="0" workbookViewId="0">
      <selection activeCell="G8" sqref="G8"/>
    </sheetView>
  </sheetViews>
  <sheetFormatPr defaultRowHeight="14.45"/>
  <cols>
    <col min="2" max="2" width="18" customWidth="1"/>
    <col min="3" max="3" width="16.28515625" customWidth="1"/>
    <col min="4" max="4" width="15.7109375" customWidth="1"/>
    <col min="7" max="9" width="8.85546875" customWidth="1"/>
  </cols>
  <sheetData>
    <row r="3" spans="2:4" ht="23.45">
      <c r="B3" s="116" t="s">
        <v>132</v>
      </c>
      <c r="C3" s="116"/>
      <c r="D3" s="116"/>
    </row>
    <row r="4" spans="2:4" ht="18">
      <c r="B4" s="36" t="s">
        <v>133</v>
      </c>
      <c r="C4" s="4"/>
      <c r="D4" s="5"/>
    </row>
    <row r="5" spans="2:4">
      <c r="B5" s="7" t="s">
        <v>134</v>
      </c>
      <c r="C5" s="8" t="s">
        <v>135</v>
      </c>
      <c r="D5" s="9" t="s">
        <v>136</v>
      </c>
    </row>
    <row r="6" spans="2:4">
      <c r="B6" s="3" t="s">
        <v>137</v>
      </c>
      <c r="C6" s="35">
        <v>658000000</v>
      </c>
      <c r="D6" s="10">
        <v>4.5379310344827589E-2</v>
      </c>
    </row>
    <row r="7" spans="2:4">
      <c r="B7" s="1" t="s">
        <v>138</v>
      </c>
      <c r="C7" s="35">
        <v>156000000</v>
      </c>
      <c r="D7" s="2">
        <v>1.0758620689655173E-2</v>
      </c>
    </row>
    <row r="8" spans="2:4">
      <c r="B8" s="1" t="s">
        <v>139</v>
      </c>
      <c r="C8" s="35">
        <v>156000000</v>
      </c>
      <c r="D8" s="2">
        <v>1.0758620689655173E-2</v>
      </c>
    </row>
    <row r="9" spans="2:4">
      <c r="B9" s="1" t="s">
        <v>140</v>
      </c>
      <c r="C9" s="35">
        <v>127000000</v>
      </c>
      <c r="D9" s="2">
        <v>8.7586206896551732E-3</v>
      </c>
    </row>
    <row r="10" spans="2:4">
      <c r="B10" s="1" t="s">
        <v>141</v>
      </c>
      <c r="C10" s="35">
        <v>121000000</v>
      </c>
      <c r="D10" s="2">
        <v>8.3448275862068964E-3</v>
      </c>
    </row>
    <row r="11" spans="2:4">
      <c r="C11" s="11"/>
    </row>
    <row r="13" spans="2:4" ht="18">
      <c r="B13" s="36" t="s">
        <v>142</v>
      </c>
      <c r="C13" s="4"/>
      <c r="D13" s="5"/>
    </row>
    <row r="14" spans="2:4">
      <c r="B14" s="7" t="s">
        <v>143</v>
      </c>
      <c r="C14" s="65"/>
      <c r="D14" s="66"/>
    </row>
    <row r="15" spans="2:4">
      <c r="B15" s="64" t="s">
        <v>144</v>
      </c>
      <c r="C15" s="64" t="s">
        <v>135</v>
      </c>
      <c r="D15" s="3" t="s">
        <v>136</v>
      </c>
    </row>
    <row r="16" spans="2:4">
      <c r="B16" s="6" t="s">
        <v>145</v>
      </c>
      <c r="C16" s="67">
        <v>194388</v>
      </c>
      <c r="D16" s="2">
        <v>2.35E-2</v>
      </c>
    </row>
    <row r="17" spans="2:4">
      <c r="B17" s="6" t="s">
        <v>146</v>
      </c>
      <c r="C17" s="67">
        <v>649435</v>
      </c>
      <c r="D17" s="2">
        <v>8.7999999999999995E-2</v>
      </c>
    </row>
    <row r="18" spans="2:4">
      <c r="B18" s="6" t="s">
        <v>147</v>
      </c>
      <c r="C18" s="67">
        <v>241891</v>
      </c>
      <c r="D18" s="2">
        <v>7.9799999999999996E-2</v>
      </c>
    </row>
    <row r="19" spans="2:4">
      <c r="B19" s="6" t="s">
        <v>148</v>
      </c>
      <c r="C19" s="67">
        <v>6255</v>
      </c>
      <c r="D19" s="2">
        <v>8.6E-3</v>
      </c>
    </row>
    <row r="20" spans="2:4">
      <c r="B20" s="6" t="s">
        <v>149</v>
      </c>
      <c r="C20" s="67">
        <v>114956</v>
      </c>
      <c r="D20" s="2">
        <v>2.41E-2</v>
      </c>
    </row>
    <row r="21" spans="2:4">
      <c r="B21" s="6" t="s">
        <v>150</v>
      </c>
      <c r="C21" s="67">
        <v>41817</v>
      </c>
      <c r="D21" s="2">
        <v>2.3699999999999999E-2</v>
      </c>
    </row>
    <row r="22" spans="2:4">
      <c r="B22" s="6" t="s">
        <v>151</v>
      </c>
      <c r="C22" s="67">
        <v>103160</v>
      </c>
      <c r="D22" s="2">
        <v>2.8400000000000002E-2</v>
      </c>
    </row>
    <row r="23" spans="2:4">
      <c r="B23" s="6" t="s">
        <v>152</v>
      </c>
      <c r="C23" s="67">
        <v>9500</v>
      </c>
      <c r="D23" s="2">
        <v>6.8999999999999999E-3</v>
      </c>
    </row>
    <row r="24" spans="2:4">
      <c r="B24" s="6" t="s">
        <v>153</v>
      </c>
      <c r="C24" s="67">
        <v>13486</v>
      </c>
      <c r="D24" s="2">
        <v>5.5999999999999999E-3</v>
      </c>
    </row>
  </sheetData>
  <mergeCells count="1">
    <mergeCell ref="B3:D3"/>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95A71-A61D-4869-91DE-3584220F49FD}">
  <dimension ref="B2:E27"/>
  <sheetViews>
    <sheetView showGridLines="0" workbookViewId="0">
      <selection activeCell="D4" sqref="D4"/>
    </sheetView>
  </sheetViews>
  <sheetFormatPr defaultRowHeight="14.45"/>
  <cols>
    <col min="3" max="3" width="14.5703125" customWidth="1"/>
    <col min="4" max="4" width="15.42578125" customWidth="1"/>
    <col min="5" max="5" width="14.5703125" customWidth="1"/>
    <col min="8" max="8" width="16.28515625" customWidth="1"/>
    <col min="9" max="9" width="17.42578125" customWidth="1"/>
    <col min="10" max="10" width="15.5703125" customWidth="1"/>
  </cols>
  <sheetData>
    <row r="2" spans="2:5" ht="15" thickBot="1">
      <c r="B2" s="117" t="s">
        <v>154</v>
      </c>
      <c r="C2" s="117"/>
      <c r="D2" s="117"/>
      <c r="E2" s="117"/>
    </row>
    <row r="3" spans="2:5" ht="15.6">
      <c r="B3" s="19" t="s">
        <v>88</v>
      </c>
      <c r="C3" s="20" t="s">
        <v>155</v>
      </c>
      <c r="D3" s="20" t="s">
        <v>156</v>
      </c>
      <c r="E3" s="21" t="s">
        <v>157</v>
      </c>
    </row>
    <row r="4" spans="2:5" ht="15.6">
      <c r="B4" s="22" t="s">
        <v>158</v>
      </c>
      <c r="C4" s="23">
        <v>5555857</v>
      </c>
      <c r="D4" s="23">
        <v>3185823</v>
      </c>
      <c r="E4" s="24">
        <f>D4/C4</f>
        <v>0.57341702639214798</v>
      </c>
    </row>
    <row r="5" spans="2:5" ht="15.6">
      <c r="B5" s="22" t="s">
        <v>159</v>
      </c>
      <c r="C5" s="23">
        <v>493435</v>
      </c>
      <c r="D5" s="23">
        <v>407781</v>
      </c>
      <c r="E5" s="24">
        <f t="shared" ref="E5:E13" si="0">D5/C5</f>
        <v>0.82641280006485152</v>
      </c>
    </row>
    <row r="6" spans="2:5" ht="15.6">
      <c r="B6" s="22" t="s">
        <v>160</v>
      </c>
      <c r="C6" s="23">
        <v>113204</v>
      </c>
      <c r="D6" s="23">
        <v>93873</v>
      </c>
      <c r="E6" s="24">
        <f t="shared" si="0"/>
        <v>0.8292374827744603</v>
      </c>
    </row>
    <row r="7" spans="2:5" ht="15.6">
      <c r="B7" s="22" t="s">
        <v>161</v>
      </c>
      <c r="C7" s="23">
        <v>107711</v>
      </c>
      <c r="D7" s="23">
        <v>80849</v>
      </c>
      <c r="E7" s="24">
        <f t="shared" si="0"/>
        <v>0.75061042976112002</v>
      </c>
    </row>
    <row r="8" spans="2:5" ht="15.6">
      <c r="B8" s="22" t="s">
        <v>162</v>
      </c>
      <c r="C8" s="23">
        <v>40995</v>
      </c>
      <c r="D8" s="23">
        <v>31921</v>
      </c>
      <c r="E8" s="24">
        <f t="shared" si="0"/>
        <v>0.77865593365044516</v>
      </c>
    </row>
    <row r="9" spans="2:5" ht="15.6">
      <c r="B9" s="22" t="s">
        <v>163</v>
      </c>
      <c r="C9" s="23">
        <v>8754</v>
      </c>
      <c r="D9" s="23">
        <v>6920</v>
      </c>
      <c r="E9" s="24">
        <f t="shared" si="0"/>
        <v>0.79049577336074939</v>
      </c>
    </row>
    <row r="10" spans="2:5" ht="15.6">
      <c r="B10" s="22" t="s">
        <v>164</v>
      </c>
      <c r="C10" s="23">
        <v>82374</v>
      </c>
      <c r="D10" s="23">
        <v>56161</v>
      </c>
      <c r="E10" s="24">
        <f t="shared" si="0"/>
        <v>0.68178065894578388</v>
      </c>
    </row>
    <row r="11" spans="2:5" ht="15.6">
      <c r="B11" s="22" t="s">
        <v>165</v>
      </c>
      <c r="C11" s="23">
        <v>47672</v>
      </c>
      <c r="D11" s="23">
        <v>42867</v>
      </c>
      <c r="E11" s="24">
        <f t="shared" si="0"/>
        <v>0.89920708172512165</v>
      </c>
    </row>
    <row r="12" spans="2:5" ht="15.6">
      <c r="B12" s="22" t="s">
        <v>166</v>
      </c>
      <c r="C12" s="23">
        <v>94858</v>
      </c>
      <c r="D12" s="23">
        <v>72410</v>
      </c>
      <c r="E12" s="24">
        <f t="shared" si="0"/>
        <v>0.76335153598009653</v>
      </c>
    </row>
    <row r="13" spans="2:5" ht="16.149999999999999" thickBot="1">
      <c r="B13" s="25" t="s">
        <v>167</v>
      </c>
      <c r="C13" s="26">
        <v>30710</v>
      </c>
      <c r="D13" s="26">
        <v>23246</v>
      </c>
      <c r="E13" s="27">
        <f t="shared" si="0"/>
        <v>0.75695213285574736</v>
      </c>
    </row>
    <row r="15" spans="2:5" ht="15" thickBot="1"/>
    <row r="16" spans="2:5" ht="15" thickBot="1">
      <c r="B16" s="28" t="s">
        <v>168</v>
      </c>
      <c r="C16" s="28" t="s">
        <v>169</v>
      </c>
    </row>
    <row r="17" spans="2:3">
      <c r="B17" s="29" t="s">
        <v>96</v>
      </c>
      <c r="C17" s="30">
        <v>530000</v>
      </c>
    </row>
    <row r="18" spans="2:3">
      <c r="B18" s="31" t="s">
        <v>145</v>
      </c>
      <c r="C18" s="32">
        <v>66000</v>
      </c>
    </row>
    <row r="19" spans="2:3">
      <c r="B19" s="31" t="s">
        <v>146</v>
      </c>
      <c r="C19" s="32">
        <v>57000</v>
      </c>
    </row>
    <row r="20" spans="2:3">
      <c r="B20" s="31" t="s">
        <v>149</v>
      </c>
      <c r="C20" s="32">
        <v>54000</v>
      </c>
    </row>
    <row r="21" spans="2:3">
      <c r="B21" s="31" t="s">
        <v>147</v>
      </c>
      <c r="C21" s="32">
        <v>29000</v>
      </c>
    </row>
    <row r="22" spans="2:3">
      <c r="B22" s="31" t="s">
        <v>150</v>
      </c>
      <c r="C22" s="32">
        <v>14000</v>
      </c>
    </row>
    <row r="23" spans="2:3">
      <c r="B23" s="31" t="s">
        <v>152</v>
      </c>
      <c r="C23" s="32">
        <v>10000</v>
      </c>
    </row>
    <row r="24" spans="2:3">
      <c r="B24" s="31" t="s">
        <v>151</v>
      </c>
      <c r="C24" s="32">
        <v>10000</v>
      </c>
    </row>
    <row r="25" spans="2:3">
      <c r="B25" s="31" t="s">
        <v>148</v>
      </c>
      <c r="C25" s="32">
        <v>14000</v>
      </c>
    </row>
    <row r="26" spans="2:3">
      <c r="B26" s="31" t="s">
        <v>153</v>
      </c>
      <c r="C26" s="32">
        <v>33000</v>
      </c>
    </row>
    <row r="27" spans="2:3" ht="15" thickBot="1">
      <c r="B27" s="33" t="s">
        <v>170</v>
      </c>
      <c r="C27" s="34">
        <f>SUM(C17:C26)</f>
        <v>817000</v>
      </c>
    </row>
  </sheetData>
  <mergeCells count="1">
    <mergeCell ref="B2:E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979A2-3965-43A5-948E-695F684EB67A}">
  <dimension ref="B1:P36"/>
  <sheetViews>
    <sheetView tabSelected="1" workbookViewId="0">
      <selection activeCell="Q25" sqref="Q25"/>
    </sheetView>
  </sheetViews>
  <sheetFormatPr defaultRowHeight="14.45"/>
  <cols>
    <col min="2" max="2" width="36.140625" customWidth="1"/>
    <col min="3" max="3" width="14.140625" customWidth="1"/>
    <col min="4" max="4" width="12.85546875" customWidth="1"/>
    <col min="5" max="5" width="12.28515625" customWidth="1"/>
    <col min="7" max="7" width="8.85546875"/>
  </cols>
  <sheetData>
    <row r="1" spans="2:16" ht="18">
      <c r="B1" s="114" t="s">
        <v>171</v>
      </c>
      <c r="C1" s="114"/>
      <c r="D1" s="114"/>
      <c r="E1" s="114"/>
      <c r="F1" s="114"/>
      <c r="G1" s="113"/>
      <c r="I1" s="114" t="s">
        <v>172</v>
      </c>
      <c r="J1" s="114"/>
      <c r="K1" s="114"/>
      <c r="L1" s="114"/>
      <c r="M1" s="114"/>
      <c r="N1" s="114"/>
      <c r="O1" s="114"/>
      <c r="P1" s="114"/>
    </row>
    <row r="2" spans="2:16">
      <c r="B2" s="72" t="s">
        <v>173</v>
      </c>
      <c r="C2" s="72" t="s">
        <v>174</v>
      </c>
    </row>
    <row r="3" spans="2:16">
      <c r="B3" t="s">
        <v>46</v>
      </c>
      <c r="C3" t="s">
        <v>175</v>
      </c>
    </row>
    <row r="4" spans="2:16">
      <c r="B4" t="s">
        <v>62</v>
      </c>
      <c r="C4" t="s">
        <v>176</v>
      </c>
      <c r="I4" s="72" t="s">
        <v>177</v>
      </c>
    </row>
    <row r="5" spans="2:16">
      <c r="B5" t="s">
        <v>178</v>
      </c>
      <c r="I5" t="s">
        <v>179</v>
      </c>
    </row>
    <row r="6" spans="2:16">
      <c r="B6" t="s">
        <v>180</v>
      </c>
      <c r="I6" t="s">
        <v>181</v>
      </c>
    </row>
    <row r="7" spans="2:16">
      <c r="I7" t="s">
        <v>182</v>
      </c>
    </row>
    <row r="8" spans="2:16">
      <c r="B8" s="72" t="s">
        <v>183</v>
      </c>
      <c r="C8" s="72" t="s">
        <v>46</v>
      </c>
      <c r="D8" s="72" t="s">
        <v>62</v>
      </c>
      <c r="E8" s="72" t="s">
        <v>178</v>
      </c>
      <c r="F8" s="72" t="s">
        <v>180</v>
      </c>
      <c r="G8" s="72"/>
      <c r="I8" t="s">
        <v>184</v>
      </c>
    </row>
    <row r="9" spans="2:16">
      <c r="B9" t="s">
        <v>185</v>
      </c>
      <c r="C9" s="110" t="s">
        <v>186</v>
      </c>
      <c r="D9" s="110" t="s">
        <v>186</v>
      </c>
      <c r="E9" s="110" t="s">
        <v>186</v>
      </c>
      <c r="F9" s="73"/>
      <c r="G9" s="73"/>
      <c r="I9" t="s">
        <v>187</v>
      </c>
    </row>
    <row r="10" spans="2:16">
      <c r="B10" t="s">
        <v>188</v>
      </c>
      <c r="C10" s="110" t="s">
        <v>186</v>
      </c>
      <c r="D10" s="110" t="s">
        <v>186</v>
      </c>
      <c r="E10" s="110" t="s">
        <v>186</v>
      </c>
      <c r="F10" s="110" t="s">
        <v>186</v>
      </c>
      <c r="G10" s="73"/>
    </row>
    <row r="11" spans="2:16">
      <c r="B11" t="s">
        <v>189</v>
      </c>
      <c r="C11" s="110" t="s">
        <v>186</v>
      </c>
      <c r="D11" s="110" t="s">
        <v>186</v>
      </c>
      <c r="E11" s="110" t="s">
        <v>186</v>
      </c>
      <c r="F11" s="110" t="s">
        <v>186</v>
      </c>
      <c r="G11" s="73"/>
      <c r="I11" t="s">
        <v>190</v>
      </c>
    </row>
    <row r="12" spans="2:16">
      <c r="B12" t="s">
        <v>191</v>
      </c>
      <c r="C12" s="110" t="s">
        <v>186</v>
      </c>
      <c r="D12" s="110" t="s">
        <v>186</v>
      </c>
      <c r="E12" s="110" t="s">
        <v>186</v>
      </c>
      <c r="F12" s="110" t="s">
        <v>186</v>
      </c>
      <c r="G12" s="73"/>
      <c r="I12" t="s">
        <v>192</v>
      </c>
    </row>
    <row r="13" spans="2:16">
      <c r="B13" t="s">
        <v>193</v>
      </c>
      <c r="C13" s="110" t="s">
        <v>186</v>
      </c>
      <c r="D13" s="110" t="s">
        <v>186</v>
      </c>
      <c r="E13" s="110" t="s">
        <v>186</v>
      </c>
      <c r="F13" s="110" t="s">
        <v>186</v>
      </c>
      <c r="G13" s="73"/>
      <c r="I13" t="s">
        <v>194</v>
      </c>
    </row>
    <row r="14" spans="2:16">
      <c r="B14" t="s">
        <v>195</v>
      </c>
      <c r="C14" s="110" t="s">
        <v>186</v>
      </c>
      <c r="D14" s="110" t="s">
        <v>186</v>
      </c>
      <c r="E14" s="110" t="s">
        <v>186</v>
      </c>
      <c r="F14" s="110" t="s">
        <v>186</v>
      </c>
      <c r="G14" s="73"/>
      <c r="I14" t="s">
        <v>196</v>
      </c>
    </row>
    <row r="15" spans="2:16">
      <c r="B15" t="s">
        <v>197</v>
      </c>
      <c r="C15" s="110" t="s">
        <v>186</v>
      </c>
      <c r="D15" s="73"/>
      <c r="E15" s="73"/>
      <c r="F15" s="73"/>
      <c r="G15" s="73"/>
      <c r="I15" t="s">
        <v>135</v>
      </c>
    </row>
    <row r="16" spans="2:16">
      <c r="B16" t="s">
        <v>198</v>
      </c>
      <c r="C16" s="110" t="s">
        <v>186</v>
      </c>
      <c r="D16" s="73"/>
      <c r="E16" s="73"/>
      <c r="F16" s="73"/>
      <c r="G16" s="73"/>
      <c r="I16" t="s">
        <v>199</v>
      </c>
    </row>
    <row r="17" spans="2:9">
      <c r="B17" t="s">
        <v>200</v>
      </c>
      <c r="C17" s="73"/>
      <c r="D17" s="110" t="s">
        <v>186</v>
      </c>
      <c r="E17" s="73"/>
      <c r="F17" s="73"/>
      <c r="G17" s="73"/>
      <c r="I17" t="s">
        <v>201</v>
      </c>
    </row>
    <row r="18" spans="2:9">
      <c r="B18" t="s">
        <v>202</v>
      </c>
      <c r="C18" s="73"/>
      <c r="D18" s="110" t="s">
        <v>186</v>
      </c>
      <c r="E18" s="73"/>
      <c r="F18" s="73"/>
      <c r="G18" s="73"/>
      <c r="I18" t="s">
        <v>203</v>
      </c>
    </row>
    <row r="19" spans="2:9">
      <c r="B19" t="s">
        <v>204</v>
      </c>
      <c r="C19" s="73"/>
      <c r="D19" s="73"/>
      <c r="E19" s="110" t="s">
        <v>186</v>
      </c>
      <c r="F19" s="73"/>
      <c r="G19" s="73"/>
      <c r="I19" t="s">
        <v>205</v>
      </c>
    </row>
    <row r="20" spans="2:9">
      <c r="B20" t="s">
        <v>206</v>
      </c>
      <c r="C20" s="73"/>
      <c r="D20" s="73"/>
      <c r="E20" s="110" t="s">
        <v>186</v>
      </c>
      <c r="F20" s="73"/>
      <c r="G20" s="73"/>
    </row>
    <row r="21" spans="2:9">
      <c r="B21" t="s">
        <v>207</v>
      </c>
      <c r="C21" s="73"/>
      <c r="D21" s="73"/>
      <c r="E21" s="110" t="s">
        <v>186</v>
      </c>
      <c r="F21" s="73"/>
      <c r="G21" s="73"/>
    </row>
    <row r="22" spans="2:9">
      <c r="B22" t="s">
        <v>208</v>
      </c>
      <c r="C22" s="73"/>
      <c r="D22" s="73"/>
      <c r="E22" s="110" t="s">
        <v>186</v>
      </c>
      <c r="F22" s="73"/>
      <c r="G22" s="73"/>
    </row>
    <row r="23" spans="2:9">
      <c r="B23" t="s">
        <v>209</v>
      </c>
      <c r="C23" s="73"/>
      <c r="D23" s="73"/>
      <c r="E23" s="110" t="s">
        <v>186</v>
      </c>
      <c r="F23" s="73"/>
      <c r="G23" s="73"/>
    </row>
    <row r="24" spans="2:9">
      <c r="B24" t="s">
        <v>210</v>
      </c>
      <c r="C24" s="73"/>
      <c r="D24" s="73"/>
      <c r="E24" s="110" t="s">
        <v>186</v>
      </c>
      <c r="F24" s="73"/>
      <c r="G24" s="73"/>
    </row>
    <row r="25" spans="2:9">
      <c r="B25" t="s">
        <v>211</v>
      </c>
      <c r="C25" s="73"/>
      <c r="D25" s="73"/>
      <c r="E25" s="110" t="s">
        <v>186</v>
      </c>
      <c r="F25" s="73"/>
      <c r="G25" s="73"/>
    </row>
    <row r="26" spans="2:9">
      <c r="B26" t="s">
        <v>212</v>
      </c>
      <c r="C26" s="73"/>
      <c r="D26" s="73"/>
      <c r="E26" s="110" t="s">
        <v>186</v>
      </c>
      <c r="F26" s="73"/>
      <c r="G26" s="73"/>
    </row>
    <row r="27" spans="2:9">
      <c r="B27" s="112" t="s">
        <v>213</v>
      </c>
      <c r="C27" s="73"/>
      <c r="D27" s="73"/>
      <c r="E27" s="73"/>
      <c r="F27" s="110" t="s">
        <v>186</v>
      </c>
      <c r="G27" s="73"/>
    </row>
    <row r="28" spans="2:9">
      <c r="B28" s="112" t="s">
        <v>214</v>
      </c>
      <c r="C28" s="73"/>
      <c r="D28" s="73"/>
      <c r="E28" s="73"/>
      <c r="F28" s="110" t="s">
        <v>186</v>
      </c>
      <c r="G28" s="73"/>
    </row>
    <row r="29" spans="2:9">
      <c r="B29" t="s">
        <v>215</v>
      </c>
      <c r="C29" s="110" t="s">
        <v>186</v>
      </c>
      <c r="D29" s="110" t="s">
        <v>186</v>
      </c>
      <c r="E29" s="110" t="s">
        <v>186</v>
      </c>
      <c r="F29" s="110" t="s">
        <v>186</v>
      </c>
      <c r="G29" s="73"/>
    </row>
    <row r="30" spans="2:9">
      <c r="B30" t="s">
        <v>216</v>
      </c>
      <c r="C30" s="110" t="s">
        <v>186</v>
      </c>
      <c r="D30" s="110" t="s">
        <v>186</v>
      </c>
      <c r="E30" s="110" t="s">
        <v>186</v>
      </c>
      <c r="F30" s="110" t="s">
        <v>186</v>
      </c>
      <c r="G30" s="73"/>
    </row>
    <row r="31" spans="2:9" ht="57.6">
      <c r="B31" s="111" t="s">
        <v>217</v>
      </c>
      <c r="C31" s="110" t="s">
        <v>186</v>
      </c>
      <c r="D31" s="110" t="s">
        <v>186</v>
      </c>
      <c r="E31" s="110" t="s">
        <v>186</v>
      </c>
      <c r="F31" s="110" t="s">
        <v>186</v>
      </c>
      <c r="G31" s="73"/>
    </row>
    <row r="32" spans="2:9">
      <c r="B32" t="s">
        <v>135</v>
      </c>
      <c r="C32" s="110" t="s">
        <v>186</v>
      </c>
      <c r="D32" s="110" t="s">
        <v>186</v>
      </c>
      <c r="E32" s="110" t="s">
        <v>186</v>
      </c>
      <c r="F32" s="110" t="s">
        <v>186</v>
      </c>
      <c r="G32" s="73"/>
    </row>
    <row r="33" spans="2:7">
      <c r="B33" s="11" t="s">
        <v>218</v>
      </c>
      <c r="C33" s="110" t="s">
        <v>186</v>
      </c>
      <c r="D33" s="110" t="s">
        <v>186</v>
      </c>
      <c r="E33" s="110" t="s">
        <v>186</v>
      </c>
      <c r="F33" s="110" t="s">
        <v>186</v>
      </c>
      <c r="G33" s="73"/>
    </row>
    <row r="34" spans="2:7">
      <c r="B34" t="s">
        <v>219</v>
      </c>
      <c r="C34" s="110" t="s">
        <v>186</v>
      </c>
      <c r="D34" s="110" t="s">
        <v>186</v>
      </c>
      <c r="E34" s="110" t="s">
        <v>186</v>
      </c>
      <c r="F34" s="110" t="s">
        <v>186</v>
      </c>
      <c r="G34" s="73"/>
    </row>
    <row r="35" spans="2:7">
      <c r="B35" t="s">
        <v>220</v>
      </c>
      <c r="E35" s="110" t="s">
        <v>186</v>
      </c>
      <c r="F35" s="73"/>
      <c r="G35" s="73"/>
    </row>
    <row r="36" spans="2:7">
      <c r="B36" t="s">
        <v>221</v>
      </c>
      <c r="F36" s="110" t="s">
        <v>186</v>
      </c>
      <c r="G36" s="73"/>
    </row>
  </sheetData>
  <mergeCells count="2">
    <mergeCell ref="B1:F1"/>
    <mergeCell ref="I1:P1"/>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e37c2c2c-b47c-45c4-9621-1dc066b3b904"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Belge" ma:contentTypeID="0x010100275B13D4B342B048844333B1F0D1B2A1" ma:contentTypeVersion="15" ma:contentTypeDescription="Yeni belge oluşturun." ma:contentTypeScope="" ma:versionID="6a772bba06ddfcb40185168b14a9e2a3">
  <xsd:schema xmlns:xsd="http://www.w3.org/2001/XMLSchema" xmlns:xs="http://www.w3.org/2001/XMLSchema" xmlns:p="http://schemas.microsoft.com/office/2006/metadata/properties" xmlns:ns3="a21bd5db-c917-47bc-a394-ca8b22a75350" xmlns:ns4="e37c2c2c-b47c-45c4-9621-1dc066b3b904" targetNamespace="http://schemas.microsoft.com/office/2006/metadata/properties" ma:root="true" ma:fieldsID="5f7762961a592c4a4c2520c796c3b9e5" ns3:_="" ns4:_="">
    <xsd:import namespace="a21bd5db-c917-47bc-a394-ca8b22a75350"/>
    <xsd:import namespace="e37c2c2c-b47c-45c4-9621-1dc066b3b904"/>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OCR" minOccurs="0"/>
                <xsd:element ref="ns4:MediaServiceGenerationTime" minOccurs="0"/>
                <xsd:element ref="ns4:MediaServiceEventHashCode" minOccurs="0"/>
                <xsd:element ref="ns4:MediaServiceDateTaken" minOccurs="0"/>
                <xsd:element ref="ns4:MediaLengthInSeconds" minOccurs="0"/>
                <xsd:element ref="ns4:_activity" minOccurs="0"/>
                <xsd:element ref="ns4:MediaServiceObjectDetectorVersions" minOccurs="0"/>
                <xsd:element ref="ns4:MediaServiceSearchProperties" minOccurs="0"/>
                <xsd:element ref="ns4:MediaServiceSystemTag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21bd5db-c917-47bc-a394-ca8b22a75350" elementFormDefault="qualified">
    <xsd:import namespace="http://schemas.microsoft.com/office/2006/documentManagement/types"/>
    <xsd:import namespace="http://schemas.microsoft.com/office/infopath/2007/PartnerControls"/>
    <xsd:element name="SharedWithUsers" ma:index="8" nillable="true" ma:displayName="Paylaşılanla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Ayrıntıları ile Paylaşıldı" ma:internalName="SharedWithDetails" ma:readOnly="true">
      <xsd:simpleType>
        <xsd:restriction base="dms:Note">
          <xsd:maxLength value="255"/>
        </xsd:restriction>
      </xsd:simpleType>
    </xsd:element>
    <xsd:element name="SharingHintHash" ma:index="10" nillable="true" ma:displayName="İpucu Paylaşımı Karması"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37c2c2c-b47c-45c4-9621-1dc066b3b904"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_activity" ma:index="19" nillable="true" ma:displayName="_activity" ma:hidden="true" ma:internalName="_activity">
      <xsd:simpleType>
        <xsd:restriction base="dms:Note"/>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SystemTags" ma:index="22" nillable="true" ma:displayName="MediaServiceSystemTags" ma:hidden="true" ma:internalName="MediaServiceSystemTag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çerik Türü"/>
        <xsd:element ref="dc:title" minOccurs="0" maxOccurs="1" ma:index="4" ma:displayName="Başlık"/>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56ED15-6FB8-41C2-A421-4FBAD30CA563}"/>
</file>

<file path=customXml/itemProps2.xml><?xml version="1.0" encoding="utf-8"?>
<ds:datastoreItem xmlns:ds="http://schemas.openxmlformats.org/officeDocument/2006/customXml" ds:itemID="{47653FA3-C3CB-4090-BDA9-73A692D62A05}"/>
</file>

<file path=customXml/itemProps3.xml><?xml version="1.0" encoding="utf-8"?>
<ds:datastoreItem xmlns:ds="http://schemas.openxmlformats.org/officeDocument/2006/customXml" ds:itemID="{4C25D0B6-8285-4F79-A01E-2F9A02775B38}"/>
</file>

<file path=docMetadata/LabelInfo.xml><?xml version="1.0" encoding="utf-8"?>
<clbl:labelList xmlns:clbl="http://schemas.microsoft.com/office/2020/mipLabelMetadata">
  <clbl:label id="{c66f6488-6f7b-4340-b880-828136ff7811}" enabled="1" method="Privileged" siteId="{832c1bc9-1e43-4f93-a086-708d36b0c95d}" contentBits="0"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SERKAN KARAMAN</dc:creator>
  <cp:keywords/>
  <dc:description/>
  <cp:lastModifiedBy/>
  <cp:revision/>
  <dcterms:created xsi:type="dcterms:W3CDTF">2026-06-05T12:41:05Z</dcterms:created>
  <dcterms:modified xsi:type="dcterms:W3CDTF">2026-06-17T11:21:59Z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0x010100275B13D4B342B048844333B1F0D1B2A1</vt:lpwstr>
  </property>
</Properties>
</file>